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Investing\11 MagicS-RIM\"/>
    </mc:Choice>
  </mc:AlternateContent>
  <xr:revisionPtr revIDLastSave="0" documentId="13_ncr:1_{D6D109D8-E7BD-42F2-B16B-DFC724B3EA3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" sheetId="1" r:id="rId1"/>
    <sheet name="Q" sheetId="2" r:id="rId2"/>
    <sheet name="S-RIM" sheetId="4" r:id="rId3"/>
    <sheet name="RIM계산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2" l="1"/>
  <c r="A22" i="2"/>
  <c r="A13" i="2"/>
  <c r="A12" i="2"/>
  <c r="A3" i="2"/>
  <c r="A2" i="2"/>
  <c r="B63" i="6"/>
  <c r="H58" i="6"/>
  <c r="B58" i="6"/>
  <c r="B64" i="6" s="1"/>
  <c r="D57" i="6"/>
  <c r="D63" i="6" s="1"/>
  <c r="B57" i="6"/>
  <c r="G56" i="6"/>
  <c r="F56" i="6"/>
  <c r="F62" i="6" s="1"/>
  <c r="D56" i="6"/>
  <c r="D62" i="6" s="1"/>
  <c r="F55" i="6"/>
  <c r="F61" i="6" s="1"/>
  <c r="B43" i="6"/>
  <c r="B17" i="6"/>
  <c r="C17" i="6" s="1"/>
  <c r="H7" i="6"/>
  <c r="L5" i="6"/>
  <c r="I57" i="6" s="1"/>
  <c r="K5" i="6"/>
  <c r="H57" i="6" s="1"/>
  <c r="J5" i="6"/>
  <c r="G58" i="6" s="1"/>
  <c r="I5" i="6"/>
  <c r="H5" i="6"/>
  <c r="G5" i="6"/>
  <c r="D58" i="6" s="1"/>
  <c r="D64" i="6" s="1"/>
  <c r="F5" i="6"/>
  <c r="E5" i="6"/>
  <c r="B56" i="6" s="1"/>
  <c r="B62" i="6" s="1"/>
  <c r="B5" i="6"/>
  <c r="M4" i="6"/>
  <c r="J4" i="6"/>
  <c r="G55" i="6" s="1"/>
  <c r="I4" i="6"/>
  <c r="H4" i="6"/>
  <c r="E55" i="6" s="1"/>
  <c r="E61" i="6" s="1"/>
  <c r="G4" i="6"/>
  <c r="D55" i="6" s="1"/>
  <c r="D61" i="6" s="1"/>
  <c r="F4" i="6"/>
  <c r="C55" i="6" s="1"/>
  <c r="C61" i="6" s="1"/>
  <c r="E4" i="6"/>
  <c r="B55" i="6" s="1"/>
  <c r="B61" i="6" s="1"/>
  <c r="M3" i="6"/>
  <c r="L3" i="6"/>
  <c r="K3" i="6"/>
  <c r="J3" i="6"/>
  <c r="I3" i="6"/>
  <c r="H3" i="6"/>
  <c r="G3" i="6"/>
  <c r="F3" i="6"/>
  <c r="E3" i="6"/>
  <c r="B3" i="6"/>
  <c r="L2" i="6"/>
  <c r="K2" i="6"/>
  <c r="J2" i="6"/>
  <c r="I2" i="6"/>
  <c r="H2" i="6"/>
  <c r="G2" i="6"/>
  <c r="F2" i="6"/>
  <c r="E2" i="6"/>
  <c r="B2" i="6"/>
  <c r="C21" i="4"/>
  <c r="G18" i="4"/>
  <c r="E18" i="4"/>
  <c r="AF6" i="4" s="1"/>
  <c r="D18" i="4"/>
  <c r="C18" i="4"/>
  <c r="E17" i="4"/>
  <c r="D17" i="4"/>
  <c r="C17" i="4"/>
  <c r="G16" i="4"/>
  <c r="F16" i="4"/>
  <c r="E16" i="4"/>
  <c r="D16" i="4"/>
  <c r="C16" i="4"/>
  <c r="N15" i="4"/>
  <c r="L15" i="4"/>
  <c r="M15" i="4" s="1"/>
  <c r="K15" i="4"/>
  <c r="G15" i="4"/>
  <c r="F15" i="4"/>
  <c r="E15" i="4"/>
  <c r="D15" i="4"/>
  <c r="C15" i="4"/>
  <c r="I14" i="4" s="1"/>
  <c r="E14" i="4" s="1"/>
  <c r="G12" i="4"/>
  <c r="H11" i="4"/>
  <c r="G11" i="4"/>
  <c r="C11" i="4"/>
  <c r="G10" i="4"/>
  <c r="G9" i="4"/>
  <c r="G8" i="4"/>
  <c r="AF5" i="4"/>
  <c r="D14" i="4" s="1"/>
  <c r="B7" i="6" s="1"/>
  <c r="H5" i="4"/>
  <c r="E5" i="4"/>
  <c r="C5" i="4"/>
  <c r="H4" i="4"/>
  <c r="E4" i="4"/>
  <c r="C4" i="4"/>
  <c r="H3" i="4"/>
  <c r="E3" i="4"/>
  <c r="C3" i="4"/>
  <c r="I28" i="2"/>
  <c r="H28" i="2"/>
  <c r="G28" i="2"/>
  <c r="F28" i="2"/>
  <c r="E28" i="2"/>
  <c r="D28" i="2"/>
  <c r="C28" i="2"/>
  <c r="B28" i="2"/>
  <c r="I27" i="2"/>
  <c r="H27" i="2"/>
  <c r="G27" i="2"/>
  <c r="F27" i="2"/>
  <c r="E27" i="2"/>
  <c r="O27" i="2" s="1"/>
  <c r="D27" i="2"/>
  <c r="C27" i="2"/>
  <c r="B27" i="2"/>
  <c r="I26" i="2"/>
  <c r="H26" i="2"/>
  <c r="G26" i="2"/>
  <c r="F26" i="2"/>
  <c r="O26" i="2" s="1"/>
  <c r="E26" i="2"/>
  <c r="D26" i="2"/>
  <c r="C26" i="2"/>
  <c r="B26" i="2"/>
  <c r="I25" i="2"/>
  <c r="H25" i="2"/>
  <c r="G25" i="2"/>
  <c r="F25" i="2"/>
  <c r="E25" i="2"/>
  <c r="D25" i="2"/>
  <c r="C25" i="2"/>
  <c r="B25" i="2"/>
  <c r="O25" i="2" s="1"/>
  <c r="O28" i="2" s="1"/>
  <c r="O24" i="2"/>
  <c r="I24" i="2"/>
  <c r="H24" i="2"/>
  <c r="G24" i="2"/>
  <c r="F24" i="2"/>
  <c r="E24" i="2"/>
  <c r="D24" i="2"/>
  <c r="C24" i="2"/>
  <c r="B24" i="2"/>
  <c r="M20" i="2"/>
  <c r="I20" i="2"/>
  <c r="H20" i="2"/>
  <c r="G20" i="2"/>
  <c r="F20" i="2"/>
  <c r="E20" i="2"/>
  <c r="D20" i="2"/>
  <c r="C20" i="2"/>
  <c r="B20" i="2"/>
  <c r="I19" i="2"/>
  <c r="H19" i="2"/>
  <c r="G19" i="2"/>
  <c r="F19" i="2"/>
  <c r="E19" i="2"/>
  <c r="O19" i="2" s="1"/>
  <c r="D19" i="2"/>
  <c r="C19" i="2"/>
  <c r="B19" i="2"/>
  <c r="I18" i="2"/>
  <c r="H18" i="2"/>
  <c r="G18" i="2"/>
  <c r="F18" i="2"/>
  <c r="E18" i="2"/>
  <c r="D18" i="2"/>
  <c r="C18" i="2"/>
  <c r="B18" i="2"/>
  <c r="I17" i="2"/>
  <c r="H17" i="2"/>
  <c r="G17" i="2"/>
  <c r="F17" i="2"/>
  <c r="O17" i="2" s="1"/>
  <c r="M5" i="6" s="1"/>
  <c r="E17" i="2"/>
  <c r="D17" i="2"/>
  <c r="C17" i="2"/>
  <c r="B17" i="2"/>
  <c r="I16" i="2"/>
  <c r="H16" i="2"/>
  <c r="G16" i="2"/>
  <c r="F16" i="2"/>
  <c r="E16" i="2"/>
  <c r="D16" i="2"/>
  <c r="C16" i="2"/>
  <c r="B16" i="2"/>
  <c r="O15" i="2"/>
  <c r="O20" i="2" s="1"/>
  <c r="I15" i="2"/>
  <c r="H15" i="2"/>
  <c r="G15" i="2"/>
  <c r="F15" i="2"/>
  <c r="E15" i="2"/>
  <c r="D15" i="2"/>
  <c r="C15" i="2"/>
  <c r="B15" i="2"/>
  <c r="O14" i="2"/>
  <c r="J15" i="4" s="1"/>
  <c r="I14" i="2"/>
  <c r="H14" i="2"/>
  <c r="G14" i="2"/>
  <c r="F14" i="2"/>
  <c r="E14" i="2"/>
  <c r="D14" i="2"/>
  <c r="C14" i="2"/>
  <c r="B14" i="2"/>
  <c r="I10" i="2"/>
  <c r="H10" i="2"/>
  <c r="G10" i="2"/>
  <c r="F10" i="2"/>
  <c r="E10" i="2"/>
  <c r="D10" i="2"/>
  <c r="C10" i="2"/>
  <c r="B10" i="2"/>
  <c r="I9" i="2"/>
  <c r="H9" i="2"/>
  <c r="G9" i="2"/>
  <c r="F9" i="2"/>
  <c r="E9" i="2"/>
  <c r="D9" i="2"/>
  <c r="C9" i="2"/>
  <c r="B9" i="2"/>
  <c r="I8" i="2"/>
  <c r="H8" i="2"/>
  <c r="G8" i="2"/>
  <c r="F8" i="2"/>
  <c r="E8" i="2"/>
  <c r="D8" i="2"/>
  <c r="C8" i="2"/>
  <c r="B8" i="2"/>
  <c r="I7" i="2"/>
  <c r="H7" i="2"/>
  <c r="G7" i="2"/>
  <c r="F7" i="2"/>
  <c r="E7" i="2"/>
  <c r="D7" i="2"/>
  <c r="C7" i="2"/>
  <c r="B7" i="2"/>
  <c r="I6" i="2"/>
  <c r="H6" i="2"/>
  <c r="G6" i="2"/>
  <c r="F6" i="2"/>
  <c r="E6" i="2"/>
  <c r="D6" i="2"/>
  <c r="C6" i="2"/>
  <c r="B6" i="2"/>
  <c r="I5" i="2"/>
  <c r="H5" i="2"/>
  <c r="G5" i="2"/>
  <c r="F5" i="2"/>
  <c r="E5" i="2"/>
  <c r="D5" i="2"/>
  <c r="C5" i="2"/>
  <c r="B5" i="2"/>
  <c r="I4" i="2"/>
  <c r="H4" i="2"/>
  <c r="G4" i="2"/>
  <c r="F4" i="2"/>
  <c r="E4" i="2"/>
  <c r="D4" i="2"/>
  <c r="C4" i="2"/>
  <c r="B4" i="2"/>
  <c r="B18" i="1"/>
  <c r="B4" i="6" s="1"/>
  <c r="B44" i="6" l="1"/>
  <c r="B45" i="6" s="1"/>
  <c r="B18" i="6"/>
  <c r="F8" i="6"/>
  <c r="D17" i="6"/>
  <c r="H10" i="4"/>
  <c r="H9" i="4"/>
  <c r="H12" i="4"/>
  <c r="H8" i="4"/>
  <c r="K4" i="6"/>
  <c r="E58" i="6"/>
  <c r="E64" i="6" s="1"/>
  <c r="E57" i="6"/>
  <c r="E63" i="6" s="1"/>
  <c r="E56" i="6"/>
  <c r="E62" i="6" s="1"/>
  <c r="C43" i="6"/>
  <c r="B19" i="6"/>
  <c r="F58" i="6"/>
  <c r="F64" i="6" s="1"/>
  <c r="F57" i="6"/>
  <c r="F63" i="6" s="1"/>
  <c r="M28" i="2"/>
  <c r="B30" i="6"/>
  <c r="K20" i="2" a="1"/>
  <c r="K20" i="2" s="1"/>
  <c r="C56" i="6"/>
  <c r="C62" i="6" s="1"/>
  <c r="C58" i="6"/>
  <c r="C64" i="6" s="1"/>
  <c r="C57" i="6"/>
  <c r="C63" i="6" s="1"/>
  <c r="I58" i="6"/>
  <c r="H56" i="6"/>
  <c r="I56" i="6"/>
  <c r="G57" i="6"/>
  <c r="D43" i="6" l="1"/>
  <c r="M2" i="6"/>
  <c r="H16" i="4"/>
  <c r="E17" i="6"/>
  <c r="L4" i="6"/>
  <c r="I55" i="6" s="1"/>
  <c r="H55" i="6"/>
  <c r="B47" i="6"/>
  <c r="B34" i="6"/>
  <c r="B21" i="6"/>
  <c r="F7" i="6"/>
  <c r="C30" i="6"/>
  <c r="B31" i="6"/>
  <c r="B32" i="6" s="1"/>
  <c r="I15" i="4" l="1"/>
  <c r="F18" i="4"/>
  <c r="I16" i="4"/>
  <c r="J16" i="4"/>
  <c r="G54" i="6"/>
  <c r="B42" i="6"/>
  <c r="C42" i="6" s="1"/>
  <c r="D42" i="6" s="1"/>
  <c r="E42" i="6" s="1"/>
  <c r="F42" i="6" s="1"/>
  <c r="G42" i="6" s="1"/>
  <c r="H42" i="6" s="1"/>
  <c r="I42" i="6" s="1"/>
  <c r="J42" i="6" s="1"/>
  <c r="K42" i="6" s="1"/>
  <c r="L42" i="6" s="1"/>
  <c r="B29" i="6"/>
  <c r="C29" i="6" s="1"/>
  <c r="D29" i="6" s="1"/>
  <c r="E29" i="6" s="1"/>
  <c r="F29" i="6" s="1"/>
  <c r="G29" i="6" s="1"/>
  <c r="H29" i="6" s="1"/>
  <c r="I29" i="6" s="1"/>
  <c r="J29" i="6" s="1"/>
  <c r="K29" i="6" s="1"/>
  <c r="L29" i="6" s="1"/>
  <c r="B16" i="6"/>
  <c r="C16" i="6" s="1"/>
  <c r="H8" i="6"/>
  <c r="I54" i="6"/>
  <c r="H54" i="6"/>
  <c r="J7" i="6"/>
  <c r="D30" i="6"/>
  <c r="F17" i="6"/>
  <c r="E43" i="6"/>
  <c r="C44" i="6" l="1"/>
  <c r="C45" i="6" s="1"/>
  <c r="C46" i="6" s="1"/>
  <c r="C31" i="6"/>
  <c r="C32" i="6" s="1"/>
  <c r="C33" i="6" s="1"/>
  <c r="C18" i="6"/>
  <c r="C19" i="6" s="1"/>
  <c r="C20" i="6" s="1"/>
  <c r="J55" i="6"/>
  <c r="D16" i="6"/>
  <c r="E30" i="6"/>
  <c r="G17" i="6"/>
  <c r="J54" i="6"/>
  <c r="K54" i="6" s="1"/>
  <c r="L54" i="6" s="1"/>
  <c r="M54" i="6" s="1"/>
  <c r="N54" i="6" s="1"/>
  <c r="O54" i="6" s="1"/>
  <c r="P54" i="6" s="1"/>
  <c r="Q54" i="6" s="1"/>
  <c r="R54" i="6" s="1"/>
  <c r="S54" i="6" s="1"/>
  <c r="F43" i="6"/>
  <c r="H17" i="6" l="1"/>
  <c r="G61" i="6"/>
  <c r="F30" i="6"/>
  <c r="G63" i="6"/>
  <c r="D44" i="6"/>
  <c r="D45" i="6" s="1"/>
  <c r="D31" i="6"/>
  <c r="D32" i="6" s="1"/>
  <c r="D18" i="6"/>
  <c r="D19" i="6" s="1"/>
  <c r="K55" i="6"/>
  <c r="H61" i="6" s="1"/>
  <c r="E16" i="6"/>
  <c r="J56" i="6"/>
  <c r="G62" i="6" s="1"/>
  <c r="C22" i="6"/>
  <c r="C21" i="6"/>
  <c r="G43" i="6"/>
  <c r="J57" i="6"/>
  <c r="C35" i="6"/>
  <c r="C34" i="6"/>
  <c r="C48" i="6"/>
  <c r="J58" i="6"/>
  <c r="G64" i="6" s="1"/>
  <c r="C47" i="6"/>
  <c r="H43" i="6" l="1"/>
  <c r="L55" i="6"/>
  <c r="I61" i="6" s="1"/>
  <c r="F16" i="6"/>
  <c r="E44" i="6"/>
  <c r="E45" i="6" s="1"/>
  <c r="E18" i="6"/>
  <c r="E19" i="6" s="1"/>
  <c r="E31" i="6"/>
  <c r="E32" i="6" s="1"/>
  <c r="I17" i="6"/>
  <c r="D46" i="6"/>
  <c r="D20" i="6"/>
  <c r="D34" i="6"/>
  <c r="D33" i="6"/>
  <c r="G30" i="6"/>
  <c r="E33" i="6" l="1"/>
  <c r="E34" i="6" s="1"/>
  <c r="K56" i="6"/>
  <c r="H62" i="6" s="1"/>
  <c r="D22" i="6"/>
  <c r="D21" i="6"/>
  <c r="J17" i="6"/>
  <c r="M55" i="6"/>
  <c r="J61" i="6" s="1"/>
  <c r="G16" i="6"/>
  <c r="F44" i="6"/>
  <c r="F45" i="6" s="1"/>
  <c r="F31" i="6"/>
  <c r="F32" i="6" s="1"/>
  <c r="F18" i="6"/>
  <c r="F19" i="6" s="1"/>
  <c r="K58" i="6"/>
  <c r="H64" i="6" s="1"/>
  <c r="D48" i="6"/>
  <c r="H30" i="6"/>
  <c r="D47" i="6"/>
  <c r="I43" i="6"/>
  <c r="K57" i="6"/>
  <c r="H63" i="6" s="1"/>
  <c r="D35" i="6"/>
  <c r="F33" i="6" l="1"/>
  <c r="F34" i="6"/>
  <c r="E20" i="6"/>
  <c r="E21" i="6"/>
  <c r="I30" i="6"/>
  <c r="K17" i="6"/>
  <c r="J43" i="6"/>
  <c r="E46" i="6"/>
  <c r="E47" i="6"/>
  <c r="H16" i="6"/>
  <c r="G18" i="6"/>
  <c r="G19" i="6" s="1"/>
  <c r="G31" i="6"/>
  <c r="G32" i="6" s="1"/>
  <c r="N55" i="6"/>
  <c r="K61" i="6" s="1"/>
  <c r="G44" i="6"/>
  <c r="G45" i="6" s="1"/>
  <c r="L57" i="6"/>
  <c r="I63" i="6" s="1"/>
  <c r="E35" i="6"/>
  <c r="I16" i="6" l="1"/>
  <c r="O55" i="6"/>
  <c r="L61" i="6" s="1"/>
  <c r="H18" i="6"/>
  <c r="H19" i="6" s="1"/>
  <c r="H31" i="6"/>
  <c r="H32" i="6" s="1"/>
  <c r="H44" i="6"/>
  <c r="H45" i="6" s="1"/>
  <c r="L58" i="6"/>
  <c r="I64" i="6" s="1"/>
  <c r="E48" i="6"/>
  <c r="K43" i="6"/>
  <c r="F20" i="6"/>
  <c r="F21" i="6"/>
  <c r="L56" i="6"/>
  <c r="I62" i="6" s="1"/>
  <c r="E22" i="6"/>
  <c r="G33" i="6"/>
  <c r="G34" i="6"/>
  <c r="F46" i="6"/>
  <c r="J30" i="6"/>
  <c r="L17" i="6"/>
  <c r="M57" i="6"/>
  <c r="J63" i="6" s="1"/>
  <c r="F35" i="6"/>
  <c r="N57" i="6" l="1"/>
  <c r="K63" i="6" s="1"/>
  <c r="G35" i="6"/>
  <c r="M56" i="6"/>
  <c r="J62" i="6" s="1"/>
  <c r="F22" i="6"/>
  <c r="M58" i="6"/>
  <c r="J64" i="6" s="1"/>
  <c r="F48" i="6"/>
  <c r="H33" i="6"/>
  <c r="H34" i="6" s="1"/>
  <c r="K30" i="6"/>
  <c r="G20" i="6"/>
  <c r="G21" i="6"/>
  <c r="F47" i="6"/>
  <c r="L43" i="6"/>
  <c r="J16" i="6"/>
  <c r="I44" i="6"/>
  <c r="I45" i="6" s="1"/>
  <c r="I31" i="6"/>
  <c r="I32" i="6" s="1"/>
  <c r="I18" i="6"/>
  <c r="I19" i="6" s="1"/>
  <c r="P55" i="6"/>
  <c r="M61" i="6" s="1"/>
  <c r="I33" i="6" l="1"/>
  <c r="L30" i="6"/>
  <c r="H20" i="6"/>
  <c r="H21" i="6"/>
  <c r="G46" i="6"/>
  <c r="G47" i="6"/>
  <c r="G22" i="6"/>
  <c r="N56" i="6"/>
  <c r="K62" i="6" s="1"/>
  <c r="J44" i="6"/>
  <c r="J45" i="6" s="1"/>
  <c r="J31" i="6"/>
  <c r="J32" i="6" s="1"/>
  <c r="J18" i="6"/>
  <c r="J19" i="6" s="1"/>
  <c r="Q55" i="6"/>
  <c r="N61" i="6" s="1"/>
  <c r="K16" i="6"/>
  <c r="O57" i="6"/>
  <c r="L63" i="6" s="1"/>
  <c r="H35" i="6"/>
  <c r="I20" i="6" l="1"/>
  <c r="K44" i="6"/>
  <c r="K45" i="6" s="1"/>
  <c r="K31" i="6"/>
  <c r="K32" i="6" s="1"/>
  <c r="K18" i="6"/>
  <c r="K19" i="6" s="1"/>
  <c r="R55" i="6"/>
  <c r="O61" i="6" s="1"/>
  <c r="L16" i="6"/>
  <c r="O56" i="6"/>
  <c r="L62" i="6" s="1"/>
  <c r="H22" i="6"/>
  <c r="H46" i="6"/>
  <c r="N58" i="6"/>
  <c r="K64" i="6" s="1"/>
  <c r="G48" i="6"/>
  <c r="P57" i="6"/>
  <c r="M63" i="6" s="1"/>
  <c r="I35" i="6"/>
  <c r="I34" i="6"/>
  <c r="L44" i="6" l="1"/>
  <c r="L45" i="6" s="1"/>
  <c r="L31" i="6"/>
  <c r="L32" i="6" s="1"/>
  <c r="L18" i="6"/>
  <c r="L19" i="6" s="1"/>
  <c r="S55" i="6"/>
  <c r="P61" i="6" s="1"/>
  <c r="I22" i="6"/>
  <c r="P56" i="6"/>
  <c r="M62" i="6" s="1"/>
  <c r="O58" i="6"/>
  <c r="L64" i="6" s="1"/>
  <c r="H48" i="6"/>
  <c r="H47" i="6"/>
  <c r="J33" i="6"/>
  <c r="I21" i="6"/>
  <c r="Q57" i="6" l="1"/>
  <c r="N63" i="6" s="1"/>
  <c r="J35" i="6"/>
  <c r="J34" i="6"/>
  <c r="J20" i="6"/>
  <c r="I46" i="6"/>
  <c r="J22" i="6" l="1"/>
  <c r="Q56" i="6"/>
  <c r="N62" i="6" s="1"/>
  <c r="I48" i="6"/>
  <c r="P58" i="6"/>
  <c r="M64" i="6" s="1"/>
  <c r="I47" i="6"/>
  <c r="J21" i="6"/>
  <c r="K33" i="6"/>
  <c r="K34" i="6" s="1"/>
  <c r="L33" i="6" l="1"/>
  <c r="K20" i="6"/>
  <c r="J46" i="6"/>
  <c r="K35" i="6"/>
  <c r="R57" i="6"/>
  <c r="O63" i="6" s="1"/>
  <c r="J48" i="6" l="1"/>
  <c r="Q58" i="6"/>
  <c r="N64" i="6" s="1"/>
  <c r="J47" i="6"/>
  <c r="R56" i="6"/>
  <c r="O62" i="6" s="1"/>
  <c r="K22" i="6"/>
  <c r="K21" i="6"/>
  <c r="S57" i="6"/>
  <c r="P63" i="6" s="1"/>
  <c r="L35" i="6"/>
  <c r="B36" i="6" s="1"/>
  <c r="B38" i="6" s="1"/>
  <c r="L34" i="6"/>
  <c r="L20" i="6" l="1"/>
  <c r="K46" i="6"/>
  <c r="B39" i="6"/>
  <c r="C39" i="6" s="1"/>
  <c r="C12" i="6" s="1"/>
  <c r="F23" i="4" s="1"/>
  <c r="C38" i="6"/>
  <c r="B12" i="6" s="1"/>
  <c r="E12" i="6" s="1"/>
  <c r="G23" i="4" s="1"/>
  <c r="R58" i="6" l="1"/>
  <c r="O64" i="6" s="1"/>
  <c r="K48" i="6"/>
  <c r="K47" i="6"/>
  <c r="S56" i="6"/>
  <c r="P62" i="6" s="1"/>
  <c r="L22" i="6"/>
  <c r="B23" i="6" s="1"/>
  <c r="B25" i="6" s="1"/>
  <c r="L21" i="6"/>
  <c r="L47" i="6" l="1"/>
  <c r="L46" i="6"/>
  <c r="B26" i="6"/>
  <c r="C26" i="6" s="1"/>
  <c r="C11" i="6" s="1"/>
  <c r="F22" i="4" s="1"/>
  <c r="C25" i="6"/>
  <c r="B11" i="6" s="1"/>
  <c r="E11" i="6" s="1"/>
  <c r="G22" i="4" s="1"/>
  <c r="S58" i="6" l="1"/>
  <c r="P64" i="6" s="1"/>
  <c r="L48" i="6"/>
  <c r="B49" i="6" s="1"/>
  <c r="B51" i="6" s="1"/>
  <c r="B52" i="6" l="1"/>
  <c r="C52" i="6" s="1"/>
  <c r="C13" i="6" s="1"/>
  <c r="F24" i="4" s="1"/>
  <c r="F25" i="4" s="1"/>
  <c r="C51" i="6"/>
  <c r="B13" i="6" s="1"/>
  <c r="E13" i="6" s="1"/>
  <c r="G24" i="4" s="1"/>
  <c r="G25" i="4" l="1"/>
  <c r="C22" i="4"/>
  <c r="D22" i="4" s="1"/>
  <c r="C23" i="4"/>
  <c r="C24" i="4"/>
</calcChain>
</file>

<file path=xl/sharedStrings.xml><?xml version="1.0" encoding="utf-8"?>
<sst xmlns="http://schemas.openxmlformats.org/spreadsheetml/2006/main" count="391" uniqueCount="169">
  <si>
    <t>source : FNGuide - 기업정보 - Snapshot</t>
  </si>
  <si>
    <t>기초정보</t>
  </si>
  <si>
    <t>종목명</t>
  </si>
  <si>
    <t>PER</t>
  </si>
  <si>
    <t>12M PER</t>
  </si>
  <si>
    <t>업종 PER</t>
  </si>
  <si>
    <t>PBR</t>
  </si>
  <si>
    <t>배당수익률</t>
  </si>
  <si>
    <t>시세현황</t>
  </si>
  <si>
    <t>[YYYY/MM/DD]</t>
  </si>
  <si>
    <t>단위 : 원, 주,%</t>
  </si>
  <si>
    <t>종가</t>
  </si>
  <si>
    <t>52주 최고가</t>
  </si>
  <si>
    <t>52주 최저가</t>
  </si>
  <si>
    <t>시가총액(상장예정포함,억원)</t>
  </si>
  <si>
    <t>시가총액(보통주,억원)</t>
  </si>
  <si>
    <t>발행주식수(보통주)</t>
  </si>
  <si>
    <t>발행주식수(우선주)</t>
  </si>
  <si>
    <t>발행주식수(보통주+우선주)</t>
  </si>
  <si>
    <t>52주베타</t>
  </si>
  <si>
    <t>주주현황</t>
  </si>
  <si>
    <t>단위 : 주, %</t>
  </si>
  <si>
    <t>자사주</t>
  </si>
  <si>
    <t>투자의견 컨센서스</t>
  </si>
  <si>
    <t>단위 : 배, 원, %</t>
  </si>
  <si>
    <t>투자의견</t>
  </si>
  <si>
    <t>목표주가</t>
  </si>
  <si>
    <t>EPS</t>
  </si>
  <si>
    <t>추정기관수</t>
  </si>
  <si>
    <t>업종 비교</t>
  </si>
  <si>
    <t>단위 : 억원, 배, %</t>
  </si>
  <si>
    <t>구분</t>
  </si>
  <si>
    <t>EV/EVITDA</t>
  </si>
  <si>
    <t>ROE</t>
  </si>
  <si>
    <t>Financial Highlight</t>
  </si>
  <si>
    <t>단위 : 억원, %, 배, 천주</t>
  </si>
  <si>
    <t>[주재무제표|연간]</t>
  </si>
  <si>
    <t>Annual</t>
  </si>
  <si>
    <t>매출액</t>
  </si>
  <si>
    <t>영업이익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</si>
  <si>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</si>
  <si>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</si>
  <si>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</si>
  <si>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</si>
  <si>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</si>
  <si>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</si>
  <si>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</si>
  <si>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</si>
  <si>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</si>
  <si>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</si>
  <si>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</si>
  <si>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유보율(%)</t>
  </si>
  <si>
    <t>영업이익률(%)</t>
  </si>
  <si>
    <t>지배주주순이익률(%)</t>
  </si>
  <si>
    <t>ROA(%)</t>
  </si>
  <si>
    <t>ROE(%)</t>
  </si>
  <si>
    <t>EPS(원)</t>
  </si>
  <si>
    <t>BPS(원)</t>
  </si>
  <si>
    <t>DPS(원)</t>
  </si>
  <si>
    <t>발행주식수</t>
  </si>
  <si>
    <t>배당수익률(%)</t>
  </si>
  <si>
    <t>[주재무제표|분기]</t>
  </si>
  <si>
    <t>Net Quarter</t>
  </si>
  <si>
    <t>[별도|분기]</t>
  </si>
  <si>
    <t>source : FNGuide - 기업정보 - 컨센서스</t>
  </si>
  <si>
    <t>컨센서스 시계열 추이</t>
  </si>
  <si>
    <t>단위 : 억원, 배</t>
  </si>
  <si>
    <t>YYYY/MM | 연간</t>
  </si>
  <si>
    <t>YYYY/MM/DD</t>
  </si>
  <si>
    <t>1개월전</t>
  </si>
  <si>
    <t>3개월전</t>
  </si>
  <si>
    <t>6개월전</t>
  </si>
  <si>
    <t>1년전</t>
  </si>
  <si>
    <t>PER(Fwd. 12M)</t>
  </si>
  <si>
    <t>목표주가(원)</t>
  </si>
  <si>
    <t>투자의견(점수)</t>
  </si>
  <si>
    <t>YYYY/MM | 분기</t>
  </si>
  <si>
    <t>증권사별 적정주가 &amp; 투자의견</t>
  </si>
  <si>
    <t>단위 : 원, %</t>
  </si>
  <si>
    <t>추정기관</t>
  </si>
  <si>
    <t>추정일자</t>
  </si>
  <si>
    <t>적정주가</t>
  </si>
  <si>
    <t>직전 적정주가</t>
  </si>
  <si>
    <t>증감율</t>
  </si>
  <si>
    <t>직전 투자의견</t>
  </si>
  <si>
    <t>Consensus</t>
  </si>
  <si>
    <t>source : FNGuide - 기업정보 - 재무비율</t>
  </si>
  <si>
    <t>재무비율 [연간]</t>
  </si>
  <si>
    <t>단위 : %, 억원</t>
  </si>
  <si>
    <t>성장성비율</t>
  </si>
  <si>
    <t>매출액증가율</t>
  </si>
  <si>
    <t>판매비와관리비증가율</t>
  </si>
  <si>
    <t>영업이익증가율</t>
  </si>
  <si>
    <t>EBITDA증가율</t>
  </si>
  <si>
    <t>EPS증가율</t>
  </si>
  <si>
    <t>재무비율 [3개월]</t>
  </si>
  <si>
    <t>선택값</t>
  </si>
  <si>
    <t>4분기 평균</t>
  </si>
  <si>
    <t>계산값</t>
  </si>
  <si>
    <t>최종월</t>
  </si>
  <si>
    <t>최소값(not "0")</t>
  </si>
  <si>
    <t>4분기 합</t>
  </si>
  <si>
    <t>합/평균</t>
  </si>
  <si>
    <t>기초자료</t>
  </si>
  <si>
    <t>회사명</t>
  </si>
  <si>
    <t>보통주발행주수</t>
  </si>
  <si>
    <t>시가총액(억원)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</si>
  <si>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</si>
  <si>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</si>
  <si>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</si>
  <si>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</si>
  <si>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</si>
  <si>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</si>
  <si>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</si>
  <si>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</si>
  <si>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</si>
  <si>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</si>
  <si>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요구수익률</t>
  </si>
  <si>
    <t>별도 요구수익률</t>
  </si>
  <si>
    <t>목표주가(평균)</t>
  </si>
  <si>
    <t xml:space="preserve">   무위험이자율</t>
  </si>
  <si>
    <t>목표주가(최고)</t>
  </si>
  <si>
    <t xml:space="preserve">   시장위험프리미엄</t>
  </si>
  <si>
    <t>목표주가(최저)</t>
  </si>
  <si>
    <t>최종 적용 할인율</t>
  </si>
  <si>
    <t xml:space="preserve">   참고링크</t>
  </si>
  <si>
    <t>채권수익률</t>
  </si>
  <si>
    <t>ROE 추정</t>
  </si>
  <si>
    <t>년도</t>
  </si>
  <si>
    <t>최근 4분기</t>
  </si>
  <si>
    <t>가중평균</t>
  </si>
  <si>
    <t>별도값</t>
  </si>
  <si>
    <t>RIM 적정주가</t>
  </si>
  <si>
    <t>적정가 대비</t>
  </si>
  <si>
    <t>주당 가치</t>
  </si>
  <si>
    <t>주가</t>
  </si>
  <si>
    <t>초과이익 지속</t>
  </si>
  <si>
    <t>매도가격</t>
  </si>
  <si>
    <t>10%씩 감소</t>
  </si>
  <si>
    <t>매수가격</t>
  </si>
  <si>
    <t>20%씩 감소</t>
  </si>
  <si>
    <t>순이익 예측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</si>
  <si>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</si>
  <si>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</si>
  <si>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</si>
  <si>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</si>
  <si>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</si>
  <si>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</si>
  <si>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</si>
  <si>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</si>
  <si>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</si>
  <si>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</si>
  <si>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</si>
  <si>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</si>
  <si>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</si>
  <si>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</si>
  <si>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</si>
  <si>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</si>
  <si>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</si>
  <si>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</si>
  <si>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</si>
  <si>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</si>
  <si>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</si>
  <si>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</si>
  <si>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</si>
  <si>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[IFRS 별도]</t>
    <phoneticPr fontId="2" type="noConversion"/>
  </si>
  <si>
    <t>PER(Fwd.12M)</t>
    <phoneticPr fontId="2" type="noConversion"/>
  </si>
  <si>
    <t>현금배당수익률</t>
    <phoneticPr fontId="2" type="noConversion"/>
  </si>
  <si>
    <t>삼성전자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</si>
</sst>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0000_-;\-* #,##0.00000_-;_-* &quot;-&quot;_-;_-@_-"/>
    <numFmt numFmtId="177" formatCode="_-* #,##0.00_-;\-* #,##0.00_-;_-* &quot;-&quot;_-;_-@_-"/>
    <numFmt numFmtId="178" formatCode="_-* #,##0.0_-;\-* #,##0.0_-;_-* &quot;-&quot;_-;_-@_-"/>
    <numFmt numFmtId="179" formatCode="yyyy&quot;/&quot;m"/>
    <numFmt numFmtId="180" formatCode="yyyy&quot;/&quot;m&quot;/&quot;d;@"/>
    <numFmt numFmtId="181" formatCode="yyyy&quot;/&quot;mm"/>
    <numFmt numFmtId="182" formatCode="yyyy\/mm"/>
    <numFmt numFmtId="183" formatCode="#,##0_ "/>
    <numFmt numFmtId="184" formatCode="0.0%"/>
    <numFmt numFmtId="185" formatCode="0_);[Red]\(0\)"/>
    <numFmt numFmtId="186" formatCode="0.0_);[Red]\(0.0\)"/>
    <numFmt numFmtId="187" formatCode="[Red]\▲\ 0%;[Blue]\▼\ 0%"/>
    <numFmt numFmtId="188" formatCode="0.00_ "/>
    <numFmt numFmtId="191" formatCode="#,##0_ &quot;주&quot;"/>
    <numFmt numFmtId="192" formatCode="#,##0_ &quot;억&quot;"/>
    <numFmt numFmtId="193" formatCode="0_ &quot;일&quot;"/>
    <numFmt numFmtId="194" formatCode="#,##0.0_ &quot;억&quot;"/>
    <numFmt numFmtId="195" formatCode="0.0_ "/>
    <numFmt numFmtId="196" formatCode="yyyy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  <font>
      <sz val="10.5"/>
      <color theme="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0"/>
      <name val="맑은 고딕"/>
      <family val="3"/>
      <charset val="129"/>
      <scheme val="minor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rgb="FFFF0000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1"/>
      <color theme="0" tint="-0.1499984740745262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.5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9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3" borderId="1" xfId="0" applyFont="1" applyFill="1" applyBorder="1">
      <alignment vertical="center"/>
    </xf>
    <xf numFmtId="10" fontId="5" fillId="0" borderId="0" xfId="2" applyNumberFormat="1" applyFont="1">
      <alignment vertical="center"/>
    </xf>
    <xf numFmtId="3" fontId="5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0" fontId="7" fillId="2" borderId="0" xfId="0" applyFont="1" applyFill="1">
      <alignment vertical="center"/>
    </xf>
    <xf numFmtId="4" fontId="5" fillId="0" borderId="1" xfId="0" applyNumberFormat="1" applyFont="1" applyBorder="1">
      <alignment vertical="center"/>
    </xf>
    <xf numFmtId="0" fontId="8" fillId="2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0" fontId="4" fillId="0" borderId="1" xfId="2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2" fontId="5" fillId="0" borderId="1" xfId="2" applyNumberFormat="1" applyFont="1" applyBorder="1">
      <alignment vertical="center"/>
    </xf>
    <xf numFmtId="2" fontId="5" fillId="0" borderId="1" xfId="2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0" fontId="5" fillId="0" borderId="1" xfId="2" applyNumberFormat="1" applyFont="1" applyBorder="1">
      <alignment vertical="center"/>
    </xf>
    <xf numFmtId="0" fontId="10" fillId="6" borderId="8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5" fillId="3" borderId="11" xfId="0" applyFont="1" applyFill="1" applyBorder="1" applyAlignment="1">
      <alignment vertical="center" wrapText="1"/>
    </xf>
    <xf numFmtId="3" fontId="11" fillId="7" borderId="12" xfId="0" applyNumberFormat="1" applyFont="1" applyFill="1" applyBorder="1">
      <alignment vertical="center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5" fillId="3" borderId="15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3" fontId="11" fillId="7" borderId="1" xfId="0" applyNumberFormat="1" applyFont="1" applyFill="1" applyBorder="1">
      <alignment vertical="center"/>
    </xf>
    <xf numFmtId="0" fontId="5" fillId="0" borderId="16" xfId="0" applyFont="1" applyBorder="1">
      <alignment vertical="center"/>
    </xf>
    <xf numFmtId="0" fontId="11" fillId="7" borderId="1" xfId="0" applyFont="1" applyFill="1" applyBorder="1">
      <alignment vertical="center"/>
    </xf>
    <xf numFmtId="10" fontId="5" fillId="0" borderId="0" xfId="0" applyNumberFormat="1" applyFont="1">
      <alignment vertical="center"/>
    </xf>
    <xf numFmtId="0" fontId="5" fillId="0" borderId="17" xfId="0" applyFont="1" applyBorder="1">
      <alignment vertical="center"/>
    </xf>
    <xf numFmtId="0" fontId="6" fillId="8" borderId="23" xfId="0" applyFont="1" applyFill="1" applyBorder="1" applyAlignment="1">
      <alignment horizontal="left" vertical="center"/>
    </xf>
    <xf numFmtId="0" fontId="5" fillId="9" borderId="12" xfId="0" applyFont="1" applyFill="1" applyBorder="1" applyAlignment="1">
      <alignment horizontal="center" vertical="center"/>
    </xf>
    <xf numFmtId="10" fontId="5" fillId="7" borderId="1" xfId="2" applyNumberFormat="1" applyFont="1" applyFill="1" applyBorder="1">
      <alignment vertical="center"/>
    </xf>
    <xf numFmtId="0" fontId="5" fillId="3" borderId="18" xfId="0" applyFont="1" applyFill="1" applyBorder="1" applyAlignment="1">
      <alignment vertical="center" wrapText="1"/>
    </xf>
    <xf numFmtId="10" fontId="5" fillId="7" borderId="5" xfId="2" applyNumberFormat="1" applyFont="1" applyFill="1" applyBorder="1">
      <alignment vertical="center"/>
    </xf>
    <xf numFmtId="0" fontId="6" fillId="10" borderId="7" xfId="0" applyFont="1" applyFill="1" applyBorder="1" applyAlignment="1">
      <alignment vertical="center" wrapText="1"/>
    </xf>
    <xf numFmtId="10" fontId="12" fillId="10" borderId="24" xfId="2" applyNumberFormat="1" applyFont="1" applyFill="1" applyBorder="1">
      <alignment vertical="center"/>
    </xf>
    <xf numFmtId="0" fontId="5" fillId="3" borderId="25" xfId="0" applyFont="1" applyFill="1" applyBorder="1">
      <alignment vertical="center"/>
    </xf>
    <xf numFmtId="0" fontId="13" fillId="7" borderId="26" xfId="3" applyFont="1" applyFill="1" applyBorder="1" applyAlignment="1" applyProtection="1">
      <alignment horizontal="center" vertical="center"/>
    </xf>
    <xf numFmtId="0" fontId="5" fillId="0" borderId="27" xfId="0" applyFont="1" applyBorder="1">
      <alignment vertical="center"/>
    </xf>
    <xf numFmtId="0" fontId="5" fillId="9" borderId="28" xfId="0" applyFont="1" applyFill="1" applyBorder="1" applyAlignment="1">
      <alignment horizontal="center" vertical="center"/>
    </xf>
    <xf numFmtId="10" fontId="12" fillId="10" borderId="29" xfId="2" applyNumberFormat="1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5" fillId="0" borderId="23" xfId="0" applyFont="1" applyBorder="1">
      <alignment vertical="center"/>
    </xf>
    <xf numFmtId="0" fontId="5" fillId="0" borderId="15" xfId="0" applyFont="1" applyBorder="1">
      <alignment vertical="center"/>
    </xf>
    <xf numFmtId="10" fontId="5" fillId="0" borderId="5" xfId="0" applyNumberFormat="1" applyFont="1" applyBorder="1" applyAlignment="1">
      <alignment horizontal="center" vertical="center"/>
    </xf>
    <xf numFmtId="10" fontId="5" fillId="0" borderId="21" xfId="0" applyNumberFormat="1" applyFont="1" applyBorder="1" applyAlignment="1">
      <alignment horizontal="center" vertical="center"/>
    </xf>
    <xf numFmtId="10" fontId="5" fillId="0" borderId="22" xfId="0" applyNumberFormat="1" applyFont="1" applyBorder="1" applyAlignment="1">
      <alignment horizontal="center" vertical="center"/>
    </xf>
    <xf numFmtId="10" fontId="15" fillId="0" borderId="0" xfId="2" applyNumberFormat="1" applyFont="1" applyAlignment="1">
      <alignment horizontal="center" vertical="center"/>
    </xf>
    <xf numFmtId="0" fontId="5" fillId="0" borderId="31" xfId="0" applyFont="1" applyBorder="1">
      <alignment vertical="center"/>
    </xf>
    <xf numFmtId="0" fontId="5" fillId="0" borderId="34" xfId="0" applyFont="1" applyBorder="1">
      <alignment vertical="center"/>
    </xf>
    <xf numFmtId="10" fontId="5" fillId="0" borderId="20" xfId="0" applyNumberFormat="1" applyFont="1" applyBorder="1" applyAlignment="1">
      <alignment horizontal="center" vertical="center"/>
    </xf>
    <xf numFmtId="10" fontId="5" fillId="0" borderId="35" xfId="0" applyNumberFormat="1" applyFont="1" applyBorder="1" applyAlignment="1">
      <alignment horizontal="center" vertical="center"/>
    </xf>
    <xf numFmtId="10" fontId="15" fillId="0" borderId="22" xfId="0" applyNumberFormat="1" applyFont="1" applyBorder="1" applyAlignment="1">
      <alignment horizontal="center" vertical="center"/>
    </xf>
    <xf numFmtId="0" fontId="10" fillId="2" borderId="36" xfId="0" applyFont="1" applyFill="1" applyBorder="1">
      <alignment vertical="center"/>
    </xf>
    <xf numFmtId="9" fontId="17" fillId="0" borderId="13" xfId="2" applyFont="1" applyBorder="1">
      <alignment vertical="center"/>
    </xf>
    <xf numFmtId="0" fontId="5" fillId="10" borderId="23" xfId="0" applyFont="1" applyFill="1" applyBorder="1" applyAlignment="1">
      <alignment vertical="center" wrapText="1"/>
    </xf>
    <xf numFmtId="3" fontId="5" fillId="11" borderId="30" xfId="0" applyNumberFormat="1" applyFont="1" applyFill="1" applyBorder="1">
      <alignment vertical="center"/>
    </xf>
    <xf numFmtId="0" fontId="5" fillId="8" borderId="8" xfId="0" applyFont="1" applyFill="1" applyBorder="1" applyAlignment="1">
      <alignment horizontal="center" vertical="center"/>
    </xf>
    <xf numFmtId="0" fontId="5" fillId="11" borderId="4" xfId="0" applyFont="1" applyFill="1" applyBorder="1">
      <alignment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vertical="center" wrapText="1"/>
    </xf>
    <xf numFmtId="3" fontId="6" fillId="12" borderId="22" xfId="0" applyNumberFormat="1" applyFont="1" applyFill="1" applyBorder="1">
      <alignment vertical="center"/>
    </xf>
    <xf numFmtId="0" fontId="5" fillId="11" borderId="4" xfId="0" applyFont="1" applyFill="1" applyBorder="1" applyAlignment="1">
      <alignment horizontal="right" vertical="center"/>
    </xf>
    <xf numFmtId="0" fontId="5" fillId="10" borderId="38" xfId="0" applyFont="1" applyFill="1" applyBorder="1" applyAlignment="1">
      <alignment vertical="center" wrapText="1"/>
    </xf>
    <xf numFmtId="3" fontId="11" fillId="13" borderId="6" xfId="0" applyNumberFormat="1" applyFont="1" applyFill="1" applyBorder="1">
      <alignment vertical="center"/>
    </xf>
    <xf numFmtId="0" fontId="5" fillId="11" borderId="1" xfId="0" applyFont="1" applyFill="1" applyBorder="1" applyAlignment="1">
      <alignment horizontal="right" vertical="center"/>
    </xf>
    <xf numFmtId="0" fontId="5" fillId="10" borderId="15" xfId="0" applyFont="1" applyFill="1" applyBorder="1" applyAlignment="1">
      <alignment vertical="center" wrapText="1"/>
    </xf>
    <xf numFmtId="3" fontId="11" fillId="14" borderId="1" xfId="0" applyNumberFormat="1" applyFont="1" applyFill="1" applyBorder="1">
      <alignment vertical="center"/>
    </xf>
    <xf numFmtId="0" fontId="5" fillId="0" borderId="40" xfId="0" applyFont="1" applyBorder="1">
      <alignment vertical="center"/>
    </xf>
    <xf numFmtId="0" fontId="5" fillId="0" borderId="41" xfId="0" applyFont="1" applyBorder="1">
      <alignment vertical="center"/>
    </xf>
    <xf numFmtId="0" fontId="5" fillId="7" borderId="2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3" fontId="4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3" fontId="15" fillId="0" borderId="1" xfId="0" applyNumberFormat="1" applyFont="1" applyBorder="1">
      <alignment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0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0" fontId="20" fillId="0" borderId="0" xfId="0" applyFont="1" applyAlignment="1">
      <alignment horizontal="center" vertical="center"/>
    </xf>
    <xf numFmtId="10" fontId="4" fillId="0" borderId="0" xfId="2" applyNumberFormat="1" applyFont="1">
      <alignment vertical="center"/>
    </xf>
    <xf numFmtId="0" fontId="1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4" fillId="17" borderId="1" xfId="0" applyFont="1" applyFill="1" applyBorder="1">
      <alignment vertical="center"/>
    </xf>
    <xf numFmtId="10" fontId="5" fillId="17" borderId="1" xfId="0" applyNumberFormat="1" applyFont="1" applyFill="1" applyBorder="1">
      <alignment vertical="center"/>
    </xf>
    <xf numFmtId="0" fontId="10" fillId="6" borderId="10" xfId="0" applyFont="1" applyFill="1" applyBorder="1">
      <alignment vertical="center"/>
    </xf>
    <xf numFmtId="0" fontId="4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0" fontId="4" fillId="13" borderId="1" xfId="0" applyFont="1" applyFill="1" applyBorder="1">
      <alignment vertical="center"/>
    </xf>
    <xf numFmtId="0" fontId="4" fillId="13" borderId="1" xfId="0" applyFont="1" applyFill="1" applyBorder="1" applyAlignment="1">
      <alignment horizontal="center" vertical="center"/>
    </xf>
    <xf numFmtId="0" fontId="4" fillId="12" borderId="1" xfId="0" applyFont="1" applyFill="1" applyBorder="1">
      <alignment vertical="center"/>
    </xf>
    <xf numFmtId="0" fontId="4" fillId="12" borderId="1" xfId="0" applyFont="1" applyFill="1" applyBorder="1" applyAlignment="1">
      <alignment horizontal="center" vertical="center"/>
    </xf>
    <xf numFmtId="0" fontId="4" fillId="14" borderId="1" xfId="0" applyFont="1" applyFill="1" applyBorder="1">
      <alignment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>
      <alignment vertical="center"/>
    </xf>
    <xf numFmtId="0" fontId="5" fillId="3" borderId="6" xfId="0" applyFont="1" applyFill="1" applyBorder="1">
      <alignment vertical="center"/>
    </xf>
    <xf numFmtId="10" fontId="4" fillId="0" borderId="1" xfId="0" applyNumberFormat="1" applyFont="1" applyBorder="1">
      <alignment vertical="center"/>
    </xf>
    <xf numFmtId="2" fontId="0" fillId="13" borderId="1" xfId="0" applyNumberFormat="1" applyFill="1" applyBorder="1">
      <alignment vertical="center"/>
    </xf>
    <xf numFmtId="2" fontId="0" fillId="12" borderId="1" xfId="0" applyNumberFormat="1" applyFill="1" applyBorder="1">
      <alignment vertical="center"/>
    </xf>
    <xf numFmtId="2" fontId="0" fillId="14" borderId="1" xfId="0" applyNumberFormat="1" applyFill="1" applyBorder="1">
      <alignment vertical="center"/>
    </xf>
    <xf numFmtId="3" fontId="11" fillId="0" borderId="1" xfId="0" applyNumberFormat="1" applyFont="1" applyBorder="1">
      <alignment vertical="center"/>
    </xf>
    <xf numFmtId="0" fontId="0" fillId="0" borderId="0" xfId="0" applyAlignment="1"/>
    <xf numFmtId="2" fontId="5" fillId="0" borderId="1" xfId="0" applyNumberFormat="1" applyFont="1" applyBorder="1">
      <alignment vertical="center"/>
    </xf>
    <xf numFmtId="0" fontId="15" fillId="13" borderId="0" xfId="0" applyFont="1" applyFill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10" fillId="7" borderId="30" xfId="0" applyNumberFormat="1" applyFont="1" applyFill="1" applyBorder="1" applyAlignment="1">
      <alignment horizontal="right" vertical="center"/>
    </xf>
    <xf numFmtId="0" fontId="5" fillId="0" borderId="6" xfId="0" applyFont="1" applyBorder="1">
      <alignment vertical="center"/>
    </xf>
    <xf numFmtId="0" fontId="17" fillId="0" borderId="8" xfId="0" applyFont="1" applyBorder="1">
      <alignment vertical="center"/>
    </xf>
    <xf numFmtId="0" fontId="5" fillId="0" borderId="43" xfId="0" applyFont="1" applyBorder="1">
      <alignment vertical="center"/>
    </xf>
    <xf numFmtId="0" fontId="5" fillId="0" borderId="37" xfId="0" applyFont="1" applyBorder="1">
      <alignment vertical="center"/>
    </xf>
    <xf numFmtId="3" fontId="4" fillId="0" borderId="1" xfId="0" applyNumberFormat="1" applyFont="1" applyBorder="1">
      <alignment vertical="center"/>
    </xf>
    <xf numFmtId="2" fontId="4" fillId="0" borderId="1" xfId="0" applyNumberFormat="1" applyFont="1" applyBorder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5" fillId="3" borderId="12" xfId="0" applyFont="1" applyFill="1" applyBorder="1">
      <alignment vertical="center"/>
    </xf>
    <xf numFmtId="0" fontId="5" fillId="3" borderId="1" xfId="0" applyFont="1" applyFill="1" applyBorder="1">
      <alignment vertical="center"/>
    </xf>
    <xf numFmtId="3" fontId="11" fillId="4" borderId="6" xfId="0" applyNumberFormat="1" applyFont="1" applyFill="1" applyBorder="1">
      <alignment vertical="center"/>
    </xf>
    <xf numFmtId="0" fontId="5" fillId="3" borderId="1" xfId="0" quotePrefix="1" applyFont="1" applyFill="1" applyBorder="1" applyAlignment="1">
      <alignment horizontal="center" vertical="center"/>
    </xf>
    <xf numFmtId="0" fontId="10" fillId="18" borderId="10" xfId="0" applyFont="1" applyFill="1" applyBorder="1" applyAlignment="1">
      <alignment vertical="center" wrapText="1"/>
    </xf>
    <xf numFmtId="0" fontId="5" fillId="3" borderId="31" xfId="0" applyFont="1" applyFill="1" applyBorder="1">
      <alignment vertical="center"/>
    </xf>
    <xf numFmtId="0" fontId="5" fillId="3" borderId="34" xfId="0" applyFont="1" applyFill="1" applyBorder="1">
      <alignment vertical="center"/>
    </xf>
    <xf numFmtId="0" fontId="5" fillId="3" borderId="45" xfId="0" applyFont="1" applyFill="1" applyBorder="1">
      <alignment vertical="center"/>
    </xf>
    <xf numFmtId="0" fontId="10" fillId="18" borderId="47" xfId="0" applyFont="1" applyFill="1" applyBorder="1">
      <alignment vertical="center"/>
    </xf>
    <xf numFmtId="0" fontId="10" fillId="18" borderId="48" xfId="0" applyFont="1" applyFill="1" applyBorder="1">
      <alignment vertical="center"/>
    </xf>
    <xf numFmtId="0" fontId="5" fillId="18" borderId="2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3" borderId="3" xfId="0" applyFont="1" applyFill="1" applyBorder="1">
      <alignment vertical="center"/>
    </xf>
    <xf numFmtId="0" fontId="2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0" borderId="1" xfId="1" applyFont="1" applyBorder="1">
      <alignment vertical="center"/>
    </xf>
    <xf numFmtId="41" fontId="4" fillId="3" borderId="1" xfId="2" applyNumberFormat="1" applyFont="1" applyFill="1" applyBorder="1">
      <alignment vertical="center"/>
    </xf>
    <xf numFmtId="176" fontId="4" fillId="0" borderId="1" xfId="2" applyNumberFormat="1" applyFont="1" applyBorder="1">
      <alignment vertical="center"/>
    </xf>
    <xf numFmtId="177" fontId="4" fillId="0" borderId="1" xfId="1" applyNumberFormat="1" applyFont="1" applyBorder="1">
      <alignment vertical="center"/>
    </xf>
    <xf numFmtId="178" fontId="4" fillId="0" borderId="1" xfId="1" applyNumberFormat="1" applyFont="1" applyBorder="1">
      <alignment vertical="center"/>
    </xf>
    <xf numFmtId="179" fontId="5" fillId="0" borderId="0" xfId="0" applyNumberFormat="1" applyFont="1">
      <alignment vertical="center"/>
    </xf>
    <xf numFmtId="179" fontId="4" fillId="0" borderId="1" xfId="0" applyNumberFormat="1" applyFont="1" applyBorder="1" applyAlignment="1">
      <alignment horizontal="center" vertical="center"/>
    </xf>
    <xf numFmtId="179" fontId="5" fillId="3" borderId="1" xfId="0" applyNumberFormat="1" applyFont="1" applyFill="1" applyBorder="1">
      <alignment vertical="center"/>
    </xf>
    <xf numFmtId="179" fontId="6" fillId="3" borderId="1" xfId="0" applyNumberFormat="1" applyFont="1" applyFill="1" applyBorder="1">
      <alignment vertical="center"/>
    </xf>
    <xf numFmtId="180" fontId="4" fillId="3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179" fontId="5" fillId="3" borderId="3" xfId="0" applyNumberFormat="1" applyFont="1" applyFill="1" applyBorder="1">
      <alignment vertical="center"/>
    </xf>
    <xf numFmtId="182" fontId="4" fillId="0" borderId="1" xfId="0" applyNumberFormat="1" applyFont="1" applyBorder="1" applyAlignment="1">
      <alignment horizontal="center" vertical="center"/>
    </xf>
    <xf numFmtId="41" fontId="5" fillId="0" borderId="30" xfId="0" applyNumberFormat="1" applyFont="1" applyBorder="1">
      <alignment vertical="center"/>
    </xf>
    <xf numFmtId="177" fontId="1" fillId="0" borderId="19" xfId="1" applyNumberFormat="1" applyBorder="1">
      <alignment vertical="center"/>
    </xf>
    <xf numFmtId="41" fontId="5" fillId="0" borderId="46" xfId="0" applyNumberFormat="1" applyFont="1" applyBorder="1" applyAlignment="1">
      <alignment horizontal="center" vertical="center"/>
    </xf>
    <xf numFmtId="184" fontId="1" fillId="0" borderId="33" xfId="2" applyNumberFormat="1" applyBorder="1">
      <alignment vertical="center"/>
    </xf>
    <xf numFmtId="41" fontId="5" fillId="0" borderId="2" xfId="0" applyNumberFormat="1" applyFont="1" applyBorder="1" applyAlignment="1">
      <alignment horizontal="center" vertical="center"/>
    </xf>
    <xf numFmtId="184" fontId="1" fillId="0" borderId="19" xfId="2" applyNumberFormat="1" applyBorder="1">
      <alignment vertical="center"/>
    </xf>
    <xf numFmtId="41" fontId="5" fillId="0" borderId="2" xfId="1" applyFont="1" applyBorder="1" applyAlignment="1">
      <alignment horizontal="right" vertical="center"/>
    </xf>
    <xf numFmtId="41" fontId="5" fillId="0" borderId="44" xfId="0" applyNumberFormat="1" applyFont="1" applyBorder="1" applyAlignment="1">
      <alignment horizontal="center" vertical="center"/>
    </xf>
    <xf numFmtId="184" fontId="1" fillId="0" borderId="22" xfId="2" applyNumberFormat="1" applyBorder="1">
      <alignment vertical="center"/>
    </xf>
    <xf numFmtId="179" fontId="5" fillId="3" borderId="30" xfId="0" applyNumberFormat="1" applyFont="1" applyFill="1" applyBorder="1" applyAlignment="1">
      <alignment horizontal="center" vertical="center"/>
    </xf>
    <xf numFmtId="185" fontId="15" fillId="0" borderId="0" xfId="0" applyNumberFormat="1" applyFont="1" applyAlignment="1">
      <alignment horizontal="center" vertical="center"/>
    </xf>
    <xf numFmtId="186" fontId="15" fillId="0" borderId="0" xfId="0" applyNumberFormat="1" applyFont="1">
      <alignment vertical="center"/>
    </xf>
    <xf numFmtId="185" fontId="15" fillId="0" borderId="0" xfId="0" applyNumberFormat="1" applyFont="1">
      <alignment vertical="center"/>
    </xf>
    <xf numFmtId="179" fontId="5" fillId="3" borderId="32" xfId="0" applyNumberFormat="1" applyFont="1" applyFill="1" applyBorder="1" applyAlignment="1">
      <alignment horizontal="center" vertical="center"/>
    </xf>
    <xf numFmtId="179" fontId="5" fillId="3" borderId="6" xfId="0" applyNumberFormat="1" applyFont="1" applyFill="1" applyBorder="1" applyAlignment="1">
      <alignment horizontal="center" vertical="center"/>
    </xf>
    <xf numFmtId="179" fontId="5" fillId="3" borderId="33" xfId="0" applyNumberFormat="1" applyFont="1" applyFill="1" applyBorder="1" applyAlignment="1">
      <alignment horizontal="center" vertical="center"/>
    </xf>
    <xf numFmtId="41" fontId="5" fillId="0" borderId="17" xfId="0" applyNumberFormat="1" applyFont="1" applyBorder="1" applyAlignment="1">
      <alignment horizontal="center" vertical="center"/>
    </xf>
    <xf numFmtId="187" fontId="6" fillId="8" borderId="37" xfId="2" applyNumberFormat="1" applyFont="1" applyFill="1" applyBorder="1" applyAlignment="1">
      <alignment horizontal="center" vertical="center"/>
    </xf>
    <xf numFmtId="183" fontId="5" fillId="13" borderId="1" xfId="1" applyNumberFormat="1" applyFont="1" applyFill="1" applyBorder="1">
      <alignment vertical="center"/>
    </xf>
    <xf numFmtId="188" fontId="5" fillId="13" borderId="19" xfId="0" applyNumberFormat="1" applyFont="1" applyFill="1" applyBorder="1">
      <alignment vertical="center"/>
    </xf>
    <xf numFmtId="183" fontId="5" fillId="12" borderId="1" xfId="1" applyNumberFormat="1" applyFont="1" applyFill="1" applyBorder="1">
      <alignment vertical="center"/>
    </xf>
    <xf numFmtId="188" fontId="5" fillId="12" borderId="39" xfId="0" applyNumberFormat="1" applyFont="1" applyFill="1" applyBorder="1">
      <alignment vertical="center"/>
    </xf>
    <xf numFmtId="183" fontId="5" fillId="14" borderId="1" xfId="1" applyNumberFormat="1" applyFont="1" applyFill="1" applyBorder="1">
      <alignment vertical="center"/>
    </xf>
    <xf numFmtId="188" fontId="5" fillId="14" borderId="19" xfId="0" applyNumberFormat="1" applyFont="1" applyFill="1" applyBorder="1">
      <alignment vertical="center"/>
    </xf>
    <xf numFmtId="178" fontId="5" fillId="0" borderId="17" xfId="1" applyNumberFormat="1" applyFont="1" applyBorder="1" applyAlignment="1">
      <alignment horizontal="right" vertical="center"/>
    </xf>
    <xf numFmtId="191" fontId="5" fillId="17" borderId="1" xfId="0" applyNumberFormat="1" applyFont="1" applyFill="1" applyBorder="1">
      <alignment vertical="center"/>
    </xf>
    <xf numFmtId="181" fontId="4" fillId="0" borderId="0" xfId="0" applyNumberFormat="1" applyFont="1">
      <alignment vertical="center"/>
    </xf>
    <xf numFmtId="181" fontId="4" fillId="0" borderId="0" xfId="0" applyNumberFormat="1" applyFont="1" applyAlignment="1">
      <alignment horizontal="right" vertical="center"/>
    </xf>
    <xf numFmtId="180" fontId="21" fillId="0" borderId="1" xfId="0" applyNumberFormat="1" applyFont="1" applyBorder="1">
      <alignment vertical="center"/>
    </xf>
    <xf numFmtId="192" fontId="4" fillId="0" borderId="1" xfId="0" applyNumberFormat="1" applyFont="1" applyBorder="1">
      <alignment vertical="center"/>
    </xf>
    <xf numFmtId="193" fontId="4" fillId="0" borderId="1" xfId="0" applyNumberFormat="1" applyFont="1" applyBorder="1">
      <alignment vertical="center"/>
    </xf>
    <xf numFmtId="194" fontId="5" fillId="13" borderId="1" xfId="0" applyNumberFormat="1" applyFont="1" applyFill="1" applyBorder="1" applyAlignment="1">
      <alignment horizontal="center" vertical="center"/>
    </xf>
    <xf numFmtId="42" fontId="5" fillId="13" borderId="1" xfId="0" applyNumberFormat="1" applyFont="1" applyFill="1" applyBorder="1" applyAlignment="1">
      <alignment horizontal="center" vertical="center"/>
    </xf>
    <xf numFmtId="194" fontId="5" fillId="12" borderId="1" xfId="0" applyNumberFormat="1" applyFont="1" applyFill="1" applyBorder="1" applyAlignment="1">
      <alignment horizontal="center" vertical="center"/>
    </xf>
    <xf numFmtId="42" fontId="5" fillId="12" borderId="1" xfId="0" applyNumberFormat="1" applyFont="1" applyFill="1" applyBorder="1" applyAlignment="1">
      <alignment horizontal="center" vertical="center"/>
    </xf>
    <xf numFmtId="194" fontId="5" fillId="14" borderId="1" xfId="0" applyNumberFormat="1" applyFont="1" applyFill="1" applyBorder="1" applyAlignment="1">
      <alignment horizontal="center" vertical="center"/>
    </xf>
    <xf numFmtId="42" fontId="5" fillId="14" borderId="1" xfId="0" applyNumberFormat="1" applyFont="1" applyFill="1" applyBorder="1" applyAlignment="1">
      <alignment horizontal="center" vertical="center"/>
    </xf>
    <xf numFmtId="195" fontId="4" fillId="15" borderId="5" xfId="0" applyNumberFormat="1" applyFont="1" applyFill="1" applyBorder="1">
      <alignment vertical="center"/>
    </xf>
    <xf numFmtId="181" fontId="4" fillId="0" borderId="1" xfId="0" applyNumberFormat="1" applyFont="1" applyBorder="1">
      <alignment vertical="center"/>
    </xf>
    <xf numFmtId="194" fontId="4" fillId="0" borderId="1" xfId="0" applyNumberFormat="1" applyFont="1" applyBorder="1">
      <alignment vertical="center"/>
    </xf>
    <xf numFmtId="194" fontId="5" fillId="0" borderId="42" xfId="0" applyNumberFormat="1" applyFont="1" applyBorder="1" applyAlignment="1">
      <alignment horizontal="right" vertical="center"/>
    </xf>
    <xf numFmtId="194" fontId="6" fillId="15" borderId="6" xfId="0" applyNumberFormat="1" applyFont="1" applyFill="1" applyBorder="1" applyAlignment="1">
      <alignment horizontal="right" vertical="center"/>
    </xf>
    <xf numFmtId="42" fontId="6" fillId="15" borderId="1" xfId="0" applyNumberFormat="1" applyFont="1" applyFill="1" applyBorder="1" applyAlignment="1">
      <alignment horizontal="center" vertical="center"/>
    </xf>
    <xf numFmtId="196" fontId="4" fillId="0" borderId="0" xfId="0" applyNumberFormat="1" applyFont="1">
      <alignment vertical="center"/>
    </xf>
    <xf numFmtId="196" fontId="4" fillId="0" borderId="1" xfId="0" applyNumberFormat="1" applyFont="1" applyBorder="1">
      <alignment vertical="center"/>
    </xf>
    <xf numFmtId="194" fontId="4" fillId="0" borderId="0" xfId="0" applyNumberFormat="1" applyFont="1">
      <alignment vertical="center"/>
    </xf>
    <xf numFmtId="0" fontId="8" fillId="19" borderId="0" xfId="0" applyFont="1" applyFill="1">
      <alignment vertical="center"/>
    </xf>
    <xf numFmtId="0" fontId="8" fillId="21" borderId="5" xfId="0" applyFont="1" applyFill="1" applyBorder="1" applyAlignment="1">
      <alignment horizontal="center" vertical="center"/>
    </xf>
    <xf numFmtId="0" fontId="4" fillId="20" borderId="5" xfId="0" applyFont="1" applyFill="1" applyBorder="1" applyAlignment="1">
      <alignment horizontal="center" vertical="center"/>
    </xf>
    <xf numFmtId="0" fontId="8" fillId="21" borderId="0" xfId="0" applyFont="1" applyFill="1">
      <alignment vertical="center"/>
    </xf>
    <xf numFmtId="0" fontId="8" fillId="21" borderId="5" xfId="0" applyFont="1" applyFill="1" applyBorder="1">
      <alignment vertical="center"/>
    </xf>
    <xf numFmtId="0" fontId="4" fillId="10" borderId="5" xfId="0" applyFont="1" applyFill="1" applyBorder="1">
      <alignment vertical="center"/>
    </xf>
    <xf numFmtId="0" fontId="6" fillId="4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4">
    <cellStyle name="백분율" xfId="2" builtinId="5"/>
    <cellStyle name="쉼표 [0]" xfId="1" builtinId="6"/>
    <cellStyle name="표준" xfId="0" builtinId="0"/>
    <cellStyle name="하이퍼링크 2" xfId="3" xr:uid="{00000000-0005-0000-0000-000003000000}"/>
  </cellStyles>
  <dxfs count="6">
    <dxf>
      <font>
        <color theme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auto="1"/>
      </font>
      <fill>
        <patternFill>
          <bgColor theme="9" tint="0.39994506668294322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43-4667-A31A-1057113A9EE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E43-4667-A31A-1057113A9EE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E43-4667-A31A-1057113A9EE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E43-4667-A31A-1057113A9EE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E43-4667-A31A-1057113A9EE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395</c:v>
                </c:pt>
                <c:pt idx="6">
                  <c:v>760</c:v>
                </c:pt>
                <c:pt idx="7">
                  <c:v>1125</c:v>
                </c:pt>
                <c:pt idx="8">
                  <c:v>1490</c:v>
                </c:pt>
                <c:pt idx="9">
                  <c:v>1855</c:v>
                </c:pt>
                <c:pt idx="10">
                  <c:v>2220</c:v>
                </c:pt>
                <c:pt idx="11">
                  <c:v>2585</c:v>
                </c:pt>
                <c:pt idx="12">
                  <c:v>2950</c:v>
                </c:pt>
                <c:pt idx="13">
                  <c:v>3315</c:v>
                </c:pt>
                <c:pt idx="14">
                  <c:v>3680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43-4667-A31A-1057113A9EE8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E43-4667-A31A-1057113A9EE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E43-4667-A31A-1057113A9EE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E43-4667-A31A-1057113A9EE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E43-4667-A31A-1057113A9EE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3E43-4667-A31A-1057113A9EE8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E43-4667-A31A-1057113A9EE8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395</c:v>
                </c:pt>
                <c:pt idx="6">
                  <c:v>760</c:v>
                </c:pt>
                <c:pt idx="7">
                  <c:v>1125</c:v>
                </c:pt>
                <c:pt idx="8">
                  <c:v>1490</c:v>
                </c:pt>
                <c:pt idx="9">
                  <c:v>1855</c:v>
                </c:pt>
                <c:pt idx="10">
                  <c:v>2220</c:v>
                </c:pt>
                <c:pt idx="11">
                  <c:v>2585</c:v>
                </c:pt>
                <c:pt idx="12">
                  <c:v>2950</c:v>
                </c:pt>
                <c:pt idx="13">
                  <c:v>3315</c:v>
                </c:pt>
                <c:pt idx="14">
                  <c:v>3680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E43-4667-A31A-1057113A9EE8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3E43-4667-A31A-1057113A9EE8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3E43-4667-A31A-1057113A9EE8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3E43-4667-A31A-1057113A9EE8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3E43-4667-A31A-1057113A9EE8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3E43-4667-A31A-1057113A9EE8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E43-4667-A31A-1057113A9EE8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395</c:v>
                </c:pt>
                <c:pt idx="6">
                  <c:v>760</c:v>
                </c:pt>
                <c:pt idx="7">
                  <c:v>1125</c:v>
                </c:pt>
                <c:pt idx="8">
                  <c:v>1490</c:v>
                </c:pt>
                <c:pt idx="9">
                  <c:v>1855</c:v>
                </c:pt>
                <c:pt idx="10">
                  <c:v>2220</c:v>
                </c:pt>
                <c:pt idx="11">
                  <c:v>2585</c:v>
                </c:pt>
                <c:pt idx="12">
                  <c:v>2950</c:v>
                </c:pt>
                <c:pt idx="13">
                  <c:v>3315</c:v>
                </c:pt>
                <c:pt idx="14">
                  <c:v>3680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E43-4667-A31A-1057113A9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0</xdr:rowOff>
    </xdr:from>
    <xdr:to>
      <xdr:col>8</xdr:col>
      <xdr:colOff>0</xdr:colOff>
      <xdr:row>40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kisrating.com/ratingsStatistics/statics_spread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3"/>
  <sheetViews>
    <sheetView workbookViewId="0"/>
  </sheetViews>
  <sheetFormatPr defaultRowHeight="15.75" x14ac:dyDescent="0.3"/>
  <cols>
    <col min="1" max="1" width="30.625" style="3" customWidth="1"/>
    <col min="2" max="9" width="15.625" style="3" customWidth="1"/>
    <col min="10" max="14" width="12.625" style="3" customWidth="1"/>
    <col min="15" max="17" width="9" style="3" customWidth="1"/>
    <col min="18" max="16384" width="9" style="3"/>
  </cols>
  <sheetData>
    <row r="1" spans="1:9" x14ac:dyDescent="0.3">
      <c r="I1" s="19" t="s">
        <v>0</v>
      </c>
    </row>
    <row r="2" spans="1:9" x14ac:dyDescent="0.3">
      <c r="A2" s="1" t="s">
        <v>1</v>
      </c>
      <c r="B2" s="2"/>
      <c r="C2" s="2"/>
      <c r="D2" s="2"/>
      <c r="E2" s="2"/>
      <c r="F2" s="2"/>
      <c r="G2" s="2"/>
      <c r="H2" s="2"/>
      <c r="I2" s="2"/>
    </row>
    <row r="3" spans="1:9" s="4" customFormat="1" x14ac:dyDescent="0.3">
      <c r="A3" s="131" t="s">
        <v>2</v>
      </c>
      <c r="B3" s="133" t="s">
        <v>168</v>
      </c>
      <c r="F3" s="3"/>
    </row>
    <row r="4" spans="1:9" s="4" customFormat="1" x14ac:dyDescent="0.3">
      <c r="A4" s="131" t="s">
        <v>3</v>
      </c>
      <c r="B4" s="119"/>
      <c r="F4" s="3"/>
    </row>
    <row r="5" spans="1:9" x14ac:dyDescent="0.3">
      <c r="A5" s="5" t="s">
        <v>166</v>
      </c>
      <c r="B5" s="128"/>
      <c r="G5" s="4"/>
      <c r="H5" s="4"/>
      <c r="I5" s="4"/>
    </row>
    <row r="6" spans="1:9" x14ac:dyDescent="0.3">
      <c r="A6" s="5" t="s">
        <v>5</v>
      </c>
      <c r="B6" s="128"/>
      <c r="G6" s="4"/>
      <c r="H6" s="4"/>
      <c r="I6" s="4"/>
    </row>
    <row r="7" spans="1:9" x14ac:dyDescent="0.3">
      <c r="A7" s="5" t="s">
        <v>6</v>
      </c>
      <c r="B7" s="128"/>
      <c r="G7" s="4"/>
      <c r="H7" s="4"/>
      <c r="I7" s="4"/>
    </row>
    <row r="8" spans="1:9" x14ac:dyDescent="0.3">
      <c r="A8" s="5" t="s">
        <v>7</v>
      </c>
      <c r="B8" s="15"/>
      <c r="G8" s="4"/>
      <c r="H8" s="4"/>
      <c r="I8" s="6"/>
    </row>
    <row r="10" spans="1:9" x14ac:dyDescent="0.3">
      <c r="A10" s="1" t="s">
        <v>8</v>
      </c>
      <c r="B10" s="18" t="s">
        <v>9</v>
      </c>
      <c r="C10" s="2"/>
      <c r="D10" s="2"/>
      <c r="E10" s="2"/>
      <c r="F10" s="2"/>
      <c r="G10" s="2"/>
      <c r="H10" s="2"/>
      <c r="I10" s="13" t="s">
        <v>10</v>
      </c>
    </row>
    <row r="11" spans="1:9" x14ac:dyDescent="0.3">
      <c r="A11" s="5" t="s">
        <v>11</v>
      </c>
      <c r="B11" s="145"/>
      <c r="G11" s="4"/>
      <c r="H11" s="4"/>
      <c r="I11" s="4"/>
    </row>
    <row r="12" spans="1:9" x14ac:dyDescent="0.3">
      <c r="A12" s="5" t="s">
        <v>12</v>
      </c>
      <c r="B12" s="145"/>
      <c r="G12" s="4"/>
      <c r="H12" s="4"/>
      <c r="I12" s="4"/>
    </row>
    <row r="13" spans="1:9" x14ac:dyDescent="0.3">
      <c r="A13" s="5" t="s">
        <v>13</v>
      </c>
      <c r="B13" s="145"/>
      <c r="G13" s="4"/>
      <c r="H13" s="4"/>
      <c r="I13" s="4"/>
    </row>
    <row r="14" spans="1:9" x14ac:dyDescent="0.3">
      <c r="A14" s="5" t="s">
        <v>14</v>
      </c>
      <c r="B14" s="145"/>
      <c r="G14" s="4"/>
      <c r="H14" s="4"/>
      <c r="I14" s="4"/>
    </row>
    <row r="15" spans="1:9" x14ac:dyDescent="0.3">
      <c r="A15" s="5" t="s">
        <v>15</v>
      </c>
      <c r="B15" s="145"/>
      <c r="G15" s="4"/>
      <c r="H15" s="4"/>
      <c r="I15" s="4"/>
    </row>
    <row r="16" spans="1:9" x14ac:dyDescent="0.3">
      <c r="A16" s="5" t="s">
        <v>16</v>
      </c>
      <c r="B16" s="145"/>
      <c r="G16" s="4"/>
      <c r="H16" s="4"/>
      <c r="I16" s="4"/>
    </row>
    <row r="17" spans="1:9" x14ac:dyDescent="0.3">
      <c r="A17" s="5" t="s">
        <v>17</v>
      </c>
      <c r="B17" s="145"/>
      <c r="G17" s="4"/>
      <c r="H17" s="4"/>
      <c r="I17" s="4"/>
    </row>
    <row r="18" spans="1:9" x14ac:dyDescent="0.3">
      <c r="A18" s="5" t="s">
        <v>18</v>
      </c>
      <c r="B18" s="146">
        <f>B16+B17</f>
        <v>0</v>
      </c>
      <c r="G18" s="4"/>
      <c r="H18" s="4"/>
      <c r="I18" s="6"/>
    </row>
    <row r="19" spans="1:9" x14ac:dyDescent="0.3">
      <c r="A19" s="5" t="s">
        <v>19</v>
      </c>
      <c r="B19" s="147"/>
      <c r="G19" s="4"/>
      <c r="H19" s="4"/>
      <c r="I19" s="6"/>
    </row>
    <row r="21" spans="1:9" x14ac:dyDescent="0.3">
      <c r="A21" s="1" t="s">
        <v>20</v>
      </c>
      <c r="B21" s="18"/>
      <c r="C21" s="2"/>
      <c r="D21" s="2"/>
      <c r="E21" s="2"/>
      <c r="F21" s="2"/>
      <c r="G21" s="2"/>
      <c r="H21" s="2"/>
      <c r="I21" s="13" t="s">
        <v>21</v>
      </c>
    </row>
    <row r="22" spans="1:9" x14ac:dyDescent="0.3">
      <c r="A22" s="103" t="s">
        <v>22</v>
      </c>
      <c r="B22" s="145"/>
    </row>
    <row r="24" spans="1:9" x14ac:dyDescent="0.3">
      <c r="A24" s="1" t="s">
        <v>23</v>
      </c>
      <c r="B24" s="18" t="s">
        <v>9</v>
      </c>
      <c r="C24" s="2"/>
      <c r="D24" s="2"/>
      <c r="E24" s="2"/>
      <c r="F24" s="2"/>
      <c r="G24" s="2"/>
      <c r="H24" s="2"/>
      <c r="I24" s="13" t="s">
        <v>24</v>
      </c>
    </row>
    <row r="25" spans="1:9" x14ac:dyDescent="0.3">
      <c r="A25" s="5" t="s">
        <v>25</v>
      </c>
      <c r="B25" s="148"/>
      <c r="G25" s="4"/>
      <c r="H25" s="4"/>
      <c r="I25" s="4"/>
    </row>
    <row r="26" spans="1:9" x14ac:dyDescent="0.3">
      <c r="A26" s="5" t="s">
        <v>26</v>
      </c>
      <c r="B26" s="145"/>
      <c r="G26" s="4"/>
      <c r="H26" s="4"/>
      <c r="I26" s="4"/>
    </row>
    <row r="27" spans="1:9" x14ac:dyDescent="0.3">
      <c r="A27" s="5" t="s">
        <v>27</v>
      </c>
      <c r="B27" s="145"/>
      <c r="G27" s="4"/>
      <c r="H27" s="4"/>
      <c r="I27" s="4"/>
    </row>
    <row r="28" spans="1:9" x14ac:dyDescent="0.3">
      <c r="A28" s="5" t="s">
        <v>3</v>
      </c>
      <c r="B28" s="149"/>
      <c r="G28" s="4"/>
      <c r="H28" s="4"/>
      <c r="I28" s="4"/>
    </row>
    <row r="29" spans="1:9" x14ac:dyDescent="0.3">
      <c r="A29" s="5" t="s">
        <v>28</v>
      </c>
      <c r="B29" s="145"/>
      <c r="G29" s="4"/>
      <c r="H29" s="4"/>
      <c r="I29" s="4"/>
    </row>
    <row r="31" spans="1:9" x14ac:dyDescent="0.3">
      <c r="A31" s="1" t="s">
        <v>29</v>
      </c>
      <c r="B31" s="2"/>
      <c r="C31" s="2"/>
      <c r="D31" s="2"/>
      <c r="E31" s="2"/>
      <c r="F31" s="2"/>
      <c r="G31" s="9"/>
      <c r="H31" s="9"/>
      <c r="I31" s="13" t="s">
        <v>30</v>
      </c>
    </row>
    <row r="32" spans="1:9" x14ac:dyDescent="0.3">
      <c r="A32" s="207"/>
    </row>
    <row r="33" spans="1:9" x14ac:dyDescent="0.3">
      <c r="A33" s="5" t="s">
        <v>31</v>
      </c>
      <c r="B33" s="14"/>
      <c r="C33" s="14"/>
      <c r="D33" s="14"/>
    </row>
    <row r="34" spans="1:9" x14ac:dyDescent="0.3">
      <c r="A34" s="5" t="s">
        <v>3</v>
      </c>
      <c r="B34" s="22"/>
      <c r="C34" s="22"/>
      <c r="D34" s="22"/>
    </row>
    <row r="35" spans="1:9" x14ac:dyDescent="0.3">
      <c r="A35" s="5" t="s">
        <v>32</v>
      </c>
      <c r="B35" s="22"/>
      <c r="C35" s="22"/>
      <c r="D35" s="22"/>
    </row>
    <row r="36" spans="1:9" x14ac:dyDescent="0.3">
      <c r="A36" s="5" t="s">
        <v>33</v>
      </c>
      <c r="B36" s="21"/>
      <c r="C36" s="21"/>
      <c r="D36" s="21"/>
    </row>
    <row r="37" spans="1:9" x14ac:dyDescent="0.3">
      <c r="A37" s="5" t="s">
        <v>167</v>
      </c>
      <c r="B37" s="22"/>
      <c r="C37" s="22"/>
      <c r="D37" s="22"/>
    </row>
    <row r="38" spans="1:9" x14ac:dyDescent="0.3">
      <c r="A38" s="5" t="s">
        <v>19</v>
      </c>
      <c r="B38" s="21"/>
      <c r="C38" s="21"/>
      <c r="D38" s="21"/>
    </row>
    <row r="40" spans="1:9" x14ac:dyDescent="0.3">
      <c r="A40" s="1" t="s">
        <v>34</v>
      </c>
      <c r="B40" s="11"/>
      <c r="C40" s="2"/>
      <c r="D40" s="2"/>
      <c r="E40" s="2"/>
      <c r="F40" s="2"/>
      <c r="G40" s="2"/>
      <c r="H40" s="2"/>
      <c r="I40" s="13" t="s">
        <v>35</v>
      </c>
    </row>
    <row r="42" spans="1:9" x14ac:dyDescent="0.3">
      <c r="A42" s="204" t="s">
        <v>36</v>
      </c>
      <c r="B42" s="150"/>
      <c r="C42" s="150"/>
      <c r="D42" s="150"/>
      <c r="E42" s="150"/>
      <c r="F42" s="150"/>
    </row>
    <row r="43" spans="1:9" ht="16.5" customHeight="1" x14ac:dyDescent="0.3">
      <c r="A43" s="208"/>
      <c r="B43" s="211" t="s">
        <v>37</v>
      </c>
      <c r="C43" s="213"/>
      <c r="D43" s="213"/>
      <c r="E43" s="213"/>
      <c r="F43" s="213"/>
      <c r="G43" s="213"/>
      <c r="H43" s="213"/>
      <c r="I43" s="214"/>
    </row>
    <row r="44" spans="1:9" s="12" customFormat="1" x14ac:dyDescent="0.3">
      <c r="A44" s="17"/>
      <c r="B44" s="151"/>
      <c r="C44" s="151"/>
      <c r="D44" s="151"/>
      <c r="E44" s="151"/>
      <c r="F44" s="151"/>
      <c r="G44" s="16"/>
      <c r="H44" s="16"/>
      <c r="I44" s="16"/>
    </row>
    <row r="45" spans="1:9" x14ac:dyDescent="0.3">
      <c r="A45" s="152" t="s">
        <v>38</v>
      </c>
      <c r="B45" s="7"/>
      <c r="C45" s="7"/>
      <c r="D45" s="7"/>
      <c r="E45" s="7"/>
      <c r="F45" s="7"/>
      <c r="G45" s="7"/>
      <c r="H45" s="7"/>
      <c r="I45" s="7"/>
    </row>
    <row r="46" spans="1:9" x14ac:dyDescent="0.3">
      <c r="A46" s="152" t="s">
        <v>39</v>
      </c>
      <c r="B46" s="7"/>
      <c r="C46" s="7"/>
      <c r="D46" s="7"/>
      <c r="E46" s="7"/>
      <c r="F46" s="7"/>
      <c r="G46" s="7"/>
      <c r="H46" s="7"/>
      <c r="I46" s="7"/>
    </row>
    <row r="47" spans="1:9" x14ac:dyDescent="0.3">
      <c r="A47" s="152" t="s">
        <v>40</v>
      </c>
      <c r="B47" s="7"/>
      <c r="C47" s="7"/>
      <c r="D47" s="7"/>
      <c r="E47" s="7"/>
      <c r="F47" s="7"/>
      <c r="G47" s="7"/>
      <c r="H47" s="7"/>
      <c r="I47" s="7"/>
    </row>
    <row r="48" spans="1:9" x14ac:dyDescent="0.3">
      <c r="A48" s="152" t="s">
        <v>41</v>
      </c>
      <c r="B48" s="7"/>
      <c r="C48" s="7"/>
      <c r="D48" s="7"/>
      <c r="E48" s="7"/>
      <c r="F48" s="7"/>
      <c r="G48" s="7"/>
      <c r="H48" s="7"/>
      <c r="I48" s="7"/>
    </row>
    <row r="49" spans="1:9" x14ac:dyDescent="0.3">
      <c r="A49" s="153" t="s">
        <v>42</v>
      </c>
      <c r="B49" s="8"/>
      <c r="C49" s="8"/>
      <c r="D49" s="8"/>
      <c r="E49" s="8"/>
      <c r="F49" s="8"/>
      <c r="G49" s="8"/>
      <c r="H49" s="8"/>
      <c r="I49" s="8"/>
    </row>
    <row r="50" spans="1:9" x14ac:dyDescent="0.3">
      <c r="A50" s="152" t="s">
        <v>43</v>
      </c>
      <c r="B50" s="7"/>
      <c r="C50" s="7"/>
      <c r="D50" s="7"/>
      <c r="E50" s="7"/>
      <c r="F50" s="7"/>
      <c r="G50" s="7"/>
      <c r="H50" s="7"/>
      <c r="I50" s="7"/>
    </row>
    <row r="51" spans="1:9" x14ac:dyDescent="0.3">
      <c r="A51" s="152" t="s">
        <v>44</v>
      </c>
      <c r="B51" s="7"/>
      <c r="C51" s="7"/>
      <c r="D51" s="7"/>
      <c r="E51" s="7"/>
      <c r="F51" s="7"/>
      <c r="G51" s="7"/>
      <c r="H51" s="7"/>
      <c r="I51" s="7"/>
    </row>
    <row r="52" spans="1:9" x14ac:dyDescent="0.3">
      <c r="A52" s="152" t="s">
        <v>45</v>
      </c>
      <c r="B52" s="7"/>
      <c r="C52" s="7"/>
      <c r="D52" s="7"/>
      <c r="E52" s="7"/>
      <c r="F52" s="7"/>
      <c r="G52" s="7"/>
      <c r="H52" s="7"/>
      <c r="I52" s="7"/>
    </row>
    <row r="53" spans="1:9" x14ac:dyDescent="0.3">
      <c r="A53" s="152" t="s">
        <v>46</v>
      </c>
      <c r="B53" s="7"/>
      <c r="C53" s="7"/>
      <c r="D53" s="7"/>
      <c r="E53" s="7"/>
      <c r="F53" s="7"/>
      <c r="G53" s="7"/>
      <c r="H53" s="7"/>
      <c r="I53" s="7"/>
    </row>
    <row r="54" spans="1:9" x14ac:dyDescent="0.3">
      <c r="A54" s="153" t="s">
        <v>47</v>
      </c>
      <c r="B54" s="8"/>
      <c r="C54" s="8"/>
      <c r="D54" s="8"/>
      <c r="E54" s="8"/>
      <c r="F54" s="8"/>
      <c r="G54" s="8"/>
      <c r="H54" s="8"/>
      <c r="I54" s="8"/>
    </row>
    <row r="55" spans="1:9" x14ac:dyDescent="0.3">
      <c r="A55" s="152" t="s">
        <v>48</v>
      </c>
      <c r="B55" s="7"/>
      <c r="C55" s="7"/>
      <c r="D55" s="7"/>
      <c r="E55" s="7"/>
      <c r="F55" s="7"/>
      <c r="G55" s="7"/>
      <c r="H55" s="7"/>
      <c r="I55" s="7"/>
    </row>
    <row r="56" spans="1:9" x14ac:dyDescent="0.3">
      <c r="A56" s="152" t="s">
        <v>49</v>
      </c>
      <c r="B56" s="7"/>
      <c r="C56" s="7"/>
      <c r="D56" s="7"/>
      <c r="E56" s="7"/>
      <c r="F56" s="7"/>
      <c r="G56" s="7"/>
      <c r="H56" s="7"/>
      <c r="I56" s="7"/>
    </row>
    <row r="57" spans="1:9" x14ac:dyDescent="0.3">
      <c r="A57" s="152" t="s">
        <v>50</v>
      </c>
      <c r="B57" s="10"/>
      <c r="C57" s="10"/>
      <c r="D57" s="10"/>
      <c r="E57" s="10"/>
      <c r="F57" s="10"/>
      <c r="G57" s="10"/>
      <c r="H57" s="10"/>
      <c r="I57" s="10"/>
    </row>
    <row r="58" spans="1:9" x14ac:dyDescent="0.3">
      <c r="A58" s="152" t="s">
        <v>51</v>
      </c>
      <c r="B58" s="10"/>
      <c r="C58" s="10"/>
      <c r="D58" s="10"/>
      <c r="E58" s="10"/>
      <c r="F58" s="10"/>
      <c r="G58" s="10"/>
      <c r="H58" s="10"/>
      <c r="I58" s="10"/>
    </row>
    <row r="59" spans="1:9" x14ac:dyDescent="0.3">
      <c r="A59" s="152" t="s">
        <v>52</v>
      </c>
      <c r="B59" s="10"/>
      <c r="C59" s="10"/>
      <c r="D59" s="10"/>
      <c r="E59" s="10"/>
      <c r="F59" s="10"/>
      <c r="G59" s="10"/>
      <c r="H59" s="10"/>
      <c r="I59" s="10"/>
    </row>
    <row r="60" spans="1:9" x14ac:dyDescent="0.3">
      <c r="A60" s="152" t="s">
        <v>53</v>
      </c>
      <c r="B60" s="10"/>
      <c r="C60" s="10"/>
      <c r="D60" s="10"/>
      <c r="E60" s="10"/>
      <c r="F60" s="10"/>
      <c r="G60" s="10"/>
      <c r="H60" s="10"/>
      <c r="I60" s="10"/>
    </row>
    <row r="61" spans="1:9" ht="16.5" customHeight="1" x14ac:dyDescent="0.3">
      <c r="A61" s="152" t="s">
        <v>54</v>
      </c>
      <c r="B61" s="20"/>
      <c r="C61" s="20"/>
      <c r="D61" s="20"/>
      <c r="E61" s="20"/>
      <c r="F61" s="20"/>
      <c r="G61" s="20"/>
      <c r="H61" s="20"/>
      <c r="I61" s="20"/>
    </row>
    <row r="62" spans="1:9" ht="16.5" customHeight="1" x14ac:dyDescent="0.3">
      <c r="A62" s="152" t="s">
        <v>55</v>
      </c>
      <c r="B62" s="20"/>
      <c r="C62" s="20"/>
      <c r="D62" s="20"/>
      <c r="E62" s="20"/>
      <c r="F62" s="20"/>
      <c r="G62" s="20"/>
      <c r="H62" s="20"/>
      <c r="I62" s="20"/>
    </row>
    <row r="63" spans="1:9" ht="16.5" customHeight="1" x14ac:dyDescent="0.3">
      <c r="A63" s="152" t="s">
        <v>56</v>
      </c>
      <c r="B63" s="7"/>
      <c r="C63" s="7"/>
      <c r="D63" s="7"/>
      <c r="E63" s="7"/>
      <c r="F63" s="7"/>
      <c r="G63" s="7"/>
      <c r="H63" s="7"/>
      <c r="I63" s="7"/>
    </row>
    <row r="64" spans="1:9" ht="16.5" customHeight="1" x14ac:dyDescent="0.3">
      <c r="A64" s="152" t="s">
        <v>57</v>
      </c>
      <c r="B64" s="7"/>
      <c r="C64" s="7"/>
      <c r="D64" s="7"/>
      <c r="E64" s="7"/>
      <c r="F64" s="7"/>
      <c r="G64" s="7"/>
      <c r="H64" s="7"/>
      <c r="I64" s="7"/>
    </row>
    <row r="65" spans="1:9" ht="16.5" customHeight="1" x14ac:dyDescent="0.3">
      <c r="A65" s="152" t="s">
        <v>58</v>
      </c>
      <c r="B65" s="7"/>
      <c r="C65" s="7"/>
      <c r="D65" s="7"/>
      <c r="E65" s="7"/>
      <c r="F65" s="7"/>
      <c r="G65" s="7"/>
      <c r="H65" s="7"/>
      <c r="I65" s="7"/>
    </row>
    <row r="66" spans="1:9" ht="16.5" customHeight="1" x14ac:dyDescent="0.3">
      <c r="A66" s="152" t="s">
        <v>3</v>
      </c>
      <c r="B66" s="10"/>
      <c r="C66" s="10"/>
      <c r="D66" s="10"/>
      <c r="E66" s="10"/>
      <c r="F66" s="10"/>
      <c r="G66" s="10"/>
      <c r="H66" s="10"/>
      <c r="I66" s="10"/>
    </row>
    <row r="67" spans="1:9" ht="16.5" customHeight="1" x14ac:dyDescent="0.3">
      <c r="A67" s="152" t="s">
        <v>6</v>
      </c>
      <c r="B67" s="10"/>
      <c r="C67" s="10"/>
      <c r="D67" s="10"/>
      <c r="E67" s="10"/>
      <c r="F67" s="10"/>
      <c r="G67" s="10"/>
      <c r="H67" s="10"/>
      <c r="I67" s="10"/>
    </row>
    <row r="68" spans="1:9" ht="16.5" customHeight="1" x14ac:dyDescent="0.3">
      <c r="A68" s="152" t="s">
        <v>59</v>
      </c>
      <c r="B68" s="7"/>
      <c r="C68" s="7"/>
      <c r="D68" s="7"/>
      <c r="E68" s="7"/>
      <c r="F68" s="7"/>
      <c r="G68" s="7"/>
      <c r="H68" s="7"/>
      <c r="I68" s="7"/>
    </row>
    <row r="69" spans="1:9" ht="16.5" customHeight="1" x14ac:dyDescent="0.3">
      <c r="A69" s="152" t="s">
        <v>60</v>
      </c>
      <c r="B69" s="20"/>
      <c r="C69" s="20"/>
      <c r="D69" s="20"/>
      <c r="E69" s="20"/>
      <c r="F69" s="20"/>
      <c r="G69" s="20"/>
      <c r="H69" s="20"/>
      <c r="I69" s="20"/>
    </row>
    <row r="70" spans="1:9" ht="16.5" customHeight="1" x14ac:dyDescent="0.3"/>
    <row r="71" spans="1:9" x14ac:dyDescent="0.3">
      <c r="A71" s="204" t="s">
        <v>61</v>
      </c>
      <c r="B71" s="150"/>
      <c r="C71" s="150"/>
      <c r="D71" s="150"/>
      <c r="E71" s="150"/>
      <c r="F71" s="150"/>
    </row>
    <row r="72" spans="1:9" ht="16.5" customHeight="1" x14ac:dyDescent="0.3">
      <c r="A72" s="208"/>
      <c r="B72" s="211" t="s">
        <v>62</v>
      </c>
      <c r="C72" s="213"/>
      <c r="D72" s="213"/>
      <c r="E72" s="213"/>
      <c r="F72" s="213"/>
      <c r="G72" s="213"/>
      <c r="H72" s="213"/>
      <c r="I72" s="214"/>
    </row>
    <row r="73" spans="1:9" s="12" customFormat="1" x14ac:dyDescent="0.3">
      <c r="A73" s="17"/>
      <c r="B73" s="151"/>
      <c r="C73" s="151"/>
      <c r="D73" s="151"/>
      <c r="E73" s="151"/>
      <c r="F73" s="151"/>
      <c r="G73" s="16"/>
      <c r="H73" s="16"/>
      <c r="I73" s="16"/>
    </row>
    <row r="74" spans="1:9" x14ac:dyDescent="0.3">
      <c r="A74" s="152" t="s">
        <v>38</v>
      </c>
      <c r="B74" s="7"/>
      <c r="C74" s="7"/>
      <c r="D74" s="7"/>
      <c r="E74" s="7"/>
      <c r="F74" s="7"/>
      <c r="G74" s="7"/>
      <c r="H74" s="7"/>
      <c r="I74" s="7"/>
    </row>
    <row r="75" spans="1:9" x14ac:dyDescent="0.3">
      <c r="A75" s="152" t="s">
        <v>39</v>
      </c>
      <c r="B75" s="7"/>
      <c r="C75" s="7"/>
      <c r="D75" s="7"/>
      <c r="E75" s="7"/>
      <c r="F75" s="7"/>
      <c r="G75" s="7"/>
      <c r="H75" s="7"/>
      <c r="I75" s="7"/>
    </row>
    <row r="76" spans="1:9" x14ac:dyDescent="0.3">
      <c r="A76" s="152" t="s">
        <v>40</v>
      </c>
      <c r="B76" s="7"/>
      <c r="C76" s="7"/>
      <c r="D76" s="7"/>
      <c r="E76" s="7"/>
      <c r="F76" s="7"/>
      <c r="G76" s="7"/>
      <c r="H76" s="7"/>
      <c r="I76" s="7"/>
    </row>
    <row r="77" spans="1:9" x14ac:dyDescent="0.3">
      <c r="A77" s="152" t="s">
        <v>41</v>
      </c>
      <c r="B77" s="7"/>
      <c r="C77" s="7"/>
      <c r="D77" s="7"/>
      <c r="E77" s="7"/>
      <c r="F77" s="7"/>
      <c r="G77" s="7"/>
      <c r="H77" s="7"/>
      <c r="I77" s="7"/>
    </row>
    <row r="78" spans="1:9" x14ac:dyDescent="0.3">
      <c r="A78" s="153" t="s">
        <v>42</v>
      </c>
      <c r="B78" s="8"/>
      <c r="C78" s="8"/>
      <c r="D78" s="8"/>
      <c r="E78" s="8"/>
      <c r="F78" s="8"/>
      <c r="G78" s="8"/>
      <c r="H78" s="8"/>
      <c r="I78" s="8"/>
    </row>
    <row r="79" spans="1:9" x14ac:dyDescent="0.3">
      <c r="A79" s="152" t="s">
        <v>43</v>
      </c>
      <c r="B79" s="7"/>
      <c r="C79" s="7"/>
      <c r="D79" s="7"/>
      <c r="E79" s="7"/>
      <c r="F79" s="7"/>
      <c r="G79" s="7"/>
      <c r="H79" s="7"/>
      <c r="I79" s="7"/>
    </row>
    <row r="80" spans="1:9" x14ac:dyDescent="0.3">
      <c r="A80" s="152" t="s">
        <v>44</v>
      </c>
      <c r="B80" s="7"/>
      <c r="C80" s="7"/>
      <c r="D80" s="7"/>
      <c r="E80" s="7"/>
      <c r="F80" s="7"/>
      <c r="G80" s="7"/>
      <c r="H80" s="7"/>
      <c r="I80" s="7"/>
    </row>
    <row r="81" spans="1:9" x14ac:dyDescent="0.3">
      <c r="A81" s="152" t="s">
        <v>45</v>
      </c>
      <c r="B81" s="7"/>
      <c r="C81" s="7"/>
      <c r="D81" s="7"/>
      <c r="E81" s="7"/>
      <c r="F81" s="7"/>
      <c r="G81" s="7"/>
      <c r="H81" s="7"/>
      <c r="I81" s="7"/>
    </row>
    <row r="82" spans="1:9" x14ac:dyDescent="0.3">
      <c r="A82" s="152" t="s">
        <v>46</v>
      </c>
      <c r="B82" s="7"/>
      <c r="C82" s="7"/>
      <c r="D82" s="7"/>
      <c r="E82" s="7"/>
      <c r="F82" s="7"/>
      <c r="G82" s="7"/>
      <c r="H82" s="7"/>
      <c r="I82" s="7"/>
    </row>
    <row r="83" spans="1:9" x14ac:dyDescent="0.3">
      <c r="A83" s="153" t="s">
        <v>47</v>
      </c>
      <c r="B83" s="8"/>
      <c r="C83" s="8"/>
      <c r="D83" s="8"/>
      <c r="E83" s="8"/>
      <c r="F83" s="8"/>
      <c r="G83" s="8"/>
      <c r="H83" s="8"/>
      <c r="I83" s="8"/>
    </row>
    <row r="84" spans="1:9" x14ac:dyDescent="0.3">
      <c r="A84" s="152" t="s">
        <v>48</v>
      </c>
      <c r="B84" s="7"/>
      <c r="C84" s="7"/>
      <c r="D84" s="7"/>
      <c r="E84" s="7"/>
      <c r="F84" s="7"/>
      <c r="G84" s="7"/>
      <c r="H84" s="7"/>
      <c r="I84" s="7"/>
    </row>
    <row r="85" spans="1:9" x14ac:dyDescent="0.3">
      <c r="A85" s="152" t="s">
        <v>49</v>
      </c>
      <c r="B85" s="7"/>
      <c r="C85" s="7"/>
      <c r="D85" s="7"/>
      <c r="E85" s="7"/>
      <c r="F85" s="7"/>
      <c r="G85" s="7"/>
      <c r="H85" s="7"/>
      <c r="I85" s="7"/>
    </row>
    <row r="86" spans="1:9" x14ac:dyDescent="0.3">
      <c r="A86" s="152" t="s">
        <v>50</v>
      </c>
      <c r="B86" s="10"/>
      <c r="C86" s="10"/>
      <c r="D86" s="10"/>
      <c r="E86" s="10"/>
      <c r="F86" s="10"/>
      <c r="G86" s="10"/>
      <c r="H86" s="10"/>
      <c r="I86" s="10"/>
    </row>
    <row r="87" spans="1:9" x14ac:dyDescent="0.3">
      <c r="A87" s="152" t="s">
        <v>51</v>
      </c>
      <c r="B87" s="10"/>
      <c r="C87" s="10"/>
      <c r="D87" s="10"/>
      <c r="E87" s="10"/>
      <c r="F87" s="10"/>
      <c r="G87" s="10"/>
      <c r="H87" s="10"/>
      <c r="I87" s="10"/>
    </row>
    <row r="88" spans="1:9" x14ac:dyDescent="0.3">
      <c r="A88" s="152" t="s">
        <v>52</v>
      </c>
      <c r="B88" s="10"/>
      <c r="C88" s="10"/>
      <c r="D88" s="10"/>
      <c r="E88" s="10"/>
      <c r="F88" s="10"/>
      <c r="G88" s="10"/>
      <c r="H88" s="10"/>
      <c r="I88" s="10"/>
    </row>
    <row r="89" spans="1:9" x14ac:dyDescent="0.3">
      <c r="A89" s="152" t="s">
        <v>53</v>
      </c>
      <c r="B89" s="10"/>
      <c r="C89" s="10"/>
      <c r="D89" s="10"/>
      <c r="E89" s="10"/>
      <c r="F89" s="10"/>
      <c r="G89" s="10"/>
      <c r="H89" s="10"/>
      <c r="I89" s="10"/>
    </row>
    <row r="90" spans="1:9" ht="16.5" customHeight="1" x14ac:dyDescent="0.3">
      <c r="A90" s="152" t="s">
        <v>54</v>
      </c>
      <c r="B90" s="20"/>
      <c r="C90" s="20"/>
      <c r="D90" s="20"/>
      <c r="E90" s="20"/>
      <c r="F90" s="20"/>
      <c r="G90" s="20"/>
      <c r="H90" s="20"/>
      <c r="I90" s="20"/>
    </row>
    <row r="91" spans="1:9" ht="16.5" customHeight="1" x14ac:dyDescent="0.3">
      <c r="A91" s="152" t="s">
        <v>55</v>
      </c>
      <c r="B91" s="20"/>
      <c r="C91" s="20"/>
      <c r="D91" s="20"/>
      <c r="E91" s="20"/>
      <c r="F91" s="20"/>
      <c r="G91" s="20"/>
      <c r="H91" s="20"/>
      <c r="I91" s="20"/>
    </row>
    <row r="92" spans="1:9" ht="16.5" customHeight="1" x14ac:dyDescent="0.3">
      <c r="A92" s="152" t="s">
        <v>56</v>
      </c>
      <c r="B92" s="7"/>
      <c r="C92" s="7"/>
      <c r="D92" s="7"/>
      <c r="E92" s="7"/>
      <c r="F92" s="7"/>
      <c r="G92" s="7"/>
      <c r="H92" s="7"/>
      <c r="I92" s="7"/>
    </row>
    <row r="93" spans="1:9" ht="16.5" customHeight="1" x14ac:dyDescent="0.3">
      <c r="A93" s="152" t="s">
        <v>57</v>
      </c>
      <c r="B93" s="7"/>
      <c r="C93" s="7"/>
      <c r="D93" s="7"/>
      <c r="E93" s="7"/>
      <c r="F93" s="7"/>
      <c r="G93" s="7"/>
      <c r="H93" s="7"/>
      <c r="I93" s="7"/>
    </row>
    <row r="94" spans="1:9" ht="16.5" customHeight="1" x14ac:dyDescent="0.3">
      <c r="A94" s="152" t="s">
        <v>58</v>
      </c>
      <c r="B94" s="7"/>
      <c r="C94" s="7"/>
      <c r="D94" s="7"/>
      <c r="E94" s="7"/>
      <c r="F94" s="7"/>
      <c r="G94" s="7"/>
      <c r="H94" s="7"/>
      <c r="I94" s="7"/>
    </row>
    <row r="95" spans="1:9" ht="16.5" customHeight="1" x14ac:dyDescent="0.3">
      <c r="A95" s="152" t="s">
        <v>3</v>
      </c>
      <c r="B95" s="10"/>
      <c r="C95" s="10"/>
      <c r="D95" s="10"/>
      <c r="E95" s="10"/>
      <c r="F95" s="10"/>
      <c r="G95" s="10"/>
      <c r="H95" s="10"/>
      <c r="I95" s="10"/>
    </row>
    <row r="96" spans="1:9" ht="16.5" customHeight="1" x14ac:dyDescent="0.3">
      <c r="A96" s="152" t="s">
        <v>6</v>
      </c>
      <c r="B96" s="10"/>
      <c r="C96" s="10"/>
      <c r="D96" s="10"/>
      <c r="E96" s="10"/>
      <c r="F96" s="10"/>
      <c r="G96" s="10"/>
      <c r="H96" s="10"/>
      <c r="I96" s="10"/>
    </row>
    <row r="97" spans="1:9" ht="16.5" customHeight="1" x14ac:dyDescent="0.3">
      <c r="A97" s="152" t="s">
        <v>59</v>
      </c>
      <c r="B97" s="7"/>
      <c r="C97" s="7"/>
      <c r="D97" s="7"/>
      <c r="E97" s="7"/>
      <c r="F97" s="7"/>
      <c r="G97" s="7"/>
      <c r="H97" s="7"/>
      <c r="I97" s="7"/>
    </row>
    <row r="98" spans="1:9" ht="16.5" customHeight="1" x14ac:dyDescent="0.3">
      <c r="A98" s="152" t="s">
        <v>60</v>
      </c>
      <c r="B98" s="23"/>
      <c r="C98" s="23"/>
      <c r="D98" s="23"/>
      <c r="E98" s="23"/>
      <c r="F98" s="23"/>
      <c r="G98" s="23"/>
      <c r="H98" s="23"/>
      <c r="I98" s="23"/>
    </row>
    <row r="99" spans="1:9" ht="16.5" customHeight="1" x14ac:dyDescent="0.3"/>
    <row r="101" spans="1:9" x14ac:dyDescent="0.3">
      <c r="A101" s="204" t="s">
        <v>63</v>
      </c>
      <c r="B101" s="150"/>
      <c r="C101" s="150"/>
      <c r="D101" s="150"/>
      <c r="E101" s="150"/>
      <c r="F101" s="150"/>
    </row>
    <row r="102" spans="1:9" ht="16.5" customHeight="1" x14ac:dyDescent="0.3">
      <c r="A102" s="209" t="s">
        <v>165</v>
      </c>
      <c r="B102" s="211" t="s">
        <v>62</v>
      </c>
      <c r="C102" s="213"/>
      <c r="D102" s="213"/>
      <c r="E102" s="213"/>
      <c r="F102" s="213"/>
      <c r="G102" s="213"/>
      <c r="H102" s="213"/>
      <c r="I102" s="214"/>
    </row>
    <row r="103" spans="1:9" s="12" customFormat="1" x14ac:dyDescent="0.3">
      <c r="A103" s="17"/>
      <c r="B103" s="151"/>
      <c r="C103" s="151"/>
      <c r="D103" s="151"/>
      <c r="E103" s="151"/>
      <c r="F103" s="151"/>
      <c r="G103" s="16"/>
      <c r="H103" s="16"/>
      <c r="I103" s="16"/>
    </row>
    <row r="104" spans="1:9" x14ac:dyDescent="0.3">
      <c r="A104" s="152" t="s">
        <v>38</v>
      </c>
      <c r="B104" s="7"/>
      <c r="C104" s="7"/>
      <c r="D104" s="7"/>
      <c r="E104" s="7"/>
      <c r="F104" s="7"/>
      <c r="G104" s="7"/>
      <c r="H104" s="7"/>
      <c r="I104" s="7"/>
    </row>
    <row r="105" spans="1:9" x14ac:dyDescent="0.3">
      <c r="A105" s="152" t="s">
        <v>39</v>
      </c>
      <c r="B105" s="7"/>
      <c r="C105" s="7"/>
      <c r="D105" s="7"/>
      <c r="E105" s="7"/>
      <c r="F105" s="7"/>
      <c r="G105" s="7"/>
      <c r="H105" s="7"/>
      <c r="I105" s="7"/>
    </row>
    <row r="106" spans="1:9" x14ac:dyDescent="0.3">
      <c r="A106" s="152" t="s">
        <v>40</v>
      </c>
      <c r="B106" s="7"/>
      <c r="C106" s="7"/>
      <c r="D106" s="7"/>
      <c r="E106" s="7"/>
      <c r="F106" s="7"/>
      <c r="G106" s="7"/>
      <c r="H106" s="7"/>
      <c r="I106" s="7"/>
    </row>
    <row r="107" spans="1:9" x14ac:dyDescent="0.3">
      <c r="A107" s="153" t="s">
        <v>41</v>
      </c>
      <c r="B107" s="8"/>
      <c r="C107" s="8"/>
      <c r="D107" s="8"/>
      <c r="E107" s="8"/>
      <c r="F107" s="8"/>
      <c r="G107" s="8"/>
      <c r="H107" s="8"/>
      <c r="I107" s="8"/>
    </row>
    <row r="108" spans="1:9" x14ac:dyDescent="0.3">
      <c r="A108" s="152" t="s">
        <v>44</v>
      </c>
      <c r="B108" s="7"/>
      <c r="C108" s="7"/>
      <c r="D108" s="7"/>
      <c r="E108" s="7"/>
      <c r="F108" s="7"/>
      <c r="G108" s="7"/>
      <c r="H108" s="7"/>
      <c r="I108" s="7"/>
    </row>
    <row r="109" spans="1:9" x14ac:dyDescent="0.3">
      <c r="A109" s="152" t="s">
        <v>45</v>
      </c>
      <c r="B109" s="7"/>
      <c r="C109" s="7"/>
      <c r="D109" s="7"/>
      <c r="E109" s="7"/>
      <c r="F109" s="7"/>
      <c r="G109" s="7"/>
      <c r="H109" s="7"/>
      <c r="I109" s="7"/>
    </row>
    <row r="110" spans="1:9" x14ac:dyDescent="0.3">
      <c r="A110" s="153" t="s">
        <v>46</v>
      </c>
      <c r="B110" s="8"/>
      <c r="C110" s="8"/>
      <c r="D110" s="8"/>
      <c r="E110" s="8"/>
      <c r="F110" s="8"/>
      <c r="G110" s="8"/>
      <c r="H110" s="8"/>
      <c r="I110" s="8"/>
    </row>
    <row r="111" spans="1:9" x14ac:dyDescent="0.3">
      <c r="A111" s="152" t="s">
        <v>49</v>
      </c>
      <c r="B111" s="7"/>
      <c r="C111" s="7"/>
      <c r="D111" s="7"/>
      <c r="E111" s="7"/>
      <c r="F111" s="7"/>
      <c r="G111" s="7"/>
      <c r="H111" s="7"/>
      <c r="I111" s="7"/>
    </row>
    <row r="112" spans="1:9" x14ac:dyDescent="0.3">
      <c r="A112" s="152" t="s">
        <v>50</v>
      </c>
      <c r="B112" s="10"/>
      <c r="C112" s="10"/>
      <c r="D112" s="10"/>
      <c r="E112" s="10"/>
      <c r="F112" s="10"/>
      <c r="G112" s="10"/>
      <c r="H112" s="10"/>
      <c r="I112" s="10"/>
    </row>
    <row r="113" spans="1:9" x14ac:dyDescent="0.3">
      <c r="A113" s="152" t="s">
        <v>51</v>
      </c>
      <c r="B113" s="10"/>
      <c r="C113" s="10"/>
      <c r="D113" s="10"/>
      <c r="E113" s="10"/>
      <c r="F113" s="10"/>
      <c r="G113" s="10"/>
      <c r="H113" s="10"/>
      <c r="I113" s="10"/>
    </row>
    <row r="114" spans="1:9" x14ac:dyDescent="0.3">
      <c r="A114" s="152" t="s">
        <v>52</v>
      </c>
      <c r="B114" s="10"/>
      <c r="C114" s="10"/>
      <c r="D114" s="10"/>
      <c r="E114" s="10"/>
      <c r="F114" s="10"/>
      <c r="G114" s="10"/>
      <c r="H114" s="10"/>
      <c r="I114" s="10"/>
    </row>
    <row r="115" spans="1:9" x14ac:dyDescent="0.3">
      <c r="A115" s="152" t="s">
        <v>53</v>
      </c>
      <c r="B115" s="10"/>
      <c r="C115" s="10"/>
      <c r="D115" s="10"/>
      <c r="E115" s="10"/>
      <c r="F115" s="10"/>
      <c r="G115" s="10"/>
      <c r="H115" s="10"/>
      <c r="I115" s="10"/>
    </row>
    <row r="116" spans="1:9" x14ac:dyDescent="0.3">
      <c r="A116" s="152" t="s">
        <v>54</v>
      </c>
      <c r="B116" s="10"/>
      <c r="C116" s="10"/>
      <c r="D116" s="10"/>
      <c r="E116" s="10"/>
      <c r="F116" s="10"/>
      <c r="G116" s="10"/>
      <c r="H116" s="10"/>
      <c r="I116" s="10"/>
    </row>
    <row r="117" spans="1:9" x14ac:dyDescent="0.3">
      <c r="A117" s="152" t="s">
        <v>55</v>
      </c>
      <c r="B117" s="10"/>
      <c r="C117" s="10"/>
      <c r="D117" s="10"/>
      <c r="E117" s="10"/>
      <c r="F117" s="10"/>
      <c r="G117" s="10"/>
      <c r="H117" s="10"/>
      <c r="I117" s="10"/>
    </row>
    <row r="118" spans="1:9" x14ac:dyDescent="0.3">
      <c r="A118" s="152" t="s">
        <v>56</v>
      </c>
      <c r="B118" s="10"/>
      <c r="C118" s="10"/>
      <c r="D118" s="10"/>
      <c r="E118" s="10"/>
      <c r="F118" s="10"/>
      <c r="G118" s="10"/>
      <c r="H118" s="10"/>
      <c r="I118" s="10"/>
    </row>
    <row r="119" spans="1:9" x14ac:dyDescent="0.3">
      <c r="A119" s="152" t="s">
        <v>57</v>
      </c>
      <c r="B119" s="10"/>
      <c r="C119" s="10"/>
      <c r="D119" s="10"/>
      <c r="E119" s="10"/>
      <c r="F119" s="10"/>
      <c r="G119" s="10"/>
      <c r="H119" s="10"/>
      <c r="I119" s="10"/>
    </row>
    <row r="120" spans="1:9" ht="16.5" customHeight="1" x14ac:dyDescent="0.3">
      <c r="A120" s="152" t="s">
        <v>58</v>
      </c>
      <c r="B120" s="20"/>
      <c r="C120" s="20"/>
      <c r="D120" s="20"/>
      <c r="E120" s="20"/>
      <c r="F120" s="20"/>
      <c r="G120" s="20"/>
      <c r="H120" s="20"/>
      <c r="I120" s="20"/>
    </row>
    <row r="121" spans="1:9" ht="16.5" customHeight="1" x14ac:dyDescent="0.3">
      <c r="A121" s="152" t="s">
        <v>3</v>
      </c>
      <c r="B121" s="20"/>
      <c r="C121" s="20"/>
      <c r="D121" s="20"/>
      <c r="E121" s="20"/>
      <c r="F121" s="20"/>
      <c r="G121" s="20"/>
      <c r="H121" s="20"/>
      <c r="I121" s="20"/>
    </row>
    <row r="122" spans="1:9" ht="16.5" customHeight="1" x14ac:dyDescent="0.3">
      <c r="A122" s="152" t="s">
        <v>6</v>
      </c>
      <c r="B122" s="119"/>
      <c r="C122" s="119"/>
      <c r="D122" s="119"/>
      <c r="E122" s="119"/>
      <c r="F122" s="119"/>
      <c r="G122" s="119"/>
      <c r="H122" s="119"/>
      <c r="I122" s="119"/>
    </row>
    <row r="123" spans="1:9" ht="16.5" customHeight="1" x14ac:dyDescent="0.3">
      <c r="A123" s="152" t="s">
        <v>59</v>
      </c>
      <c r="B123" s="7"/>
      <c r="C123" s="7"/>
      <c r="D123" s="7"/>
      <c r="E123" s="7"/>
      <c r="F123" s="7"/>
      <c r="G123" s="7"/>
      <c r="H123" s="7"/>
      <c r="I123" s="7"/>
    </row>
    <row r="124" spans="1:9" ht="16.5" customHeight="1" x14ac:dyDescent="0.3">
      <c r="A124" s="152" t="s">
        <v>60</v>
      </c>
      <c r="B124" s="10"/>
      <c r="C124" s="10"/>
      <c r="D124" s="10"/>
      <c r="E124" s="10"/>
      <c r="F124" s="10"/>
      <c r="G124" s="10"/>
      <c r="H124" s="10"/>
      <c r="I124" s="10"/>
    </row>
    <row r="126" spans="1:9" x14ac:dyDescent="0.3">
      <c r="I126" s="19" t="s">
        <v>64</v>
      </c>
    </row>
    <row r="127" spans="1:9" x14ac:dyDescent="0.3">
      <c r="A127" s="1" t="s">
        <v>65</v>
      </c>
      <c r="B127" s="11"/>
      <c r="C127" s="2"/>
      <c r="D127" s="2"/>
      <c r="E127" s="2"/>
      <c r="F127" s="2"/>
      <c r="G127" s="2"/>
      <c r="H127" s="2"/>
      <c r="I127" s="13" t="s">
        <v>66</v>
      </c>
    </row>
    <row r="128" spans="1:9" x14ac:dyDescent="0.3">
      <c r="A128" s="208"/>
      <c r="B128" s="150"/>
      <c r="C128" s="150"/>
      <c r="D128" s="150"/>
      <c r="E128" s="150"/>
      <c r="F128" s="150"/>
    </row>
    <row r="129" spans="1:6" x14ac:dyDescent="0.3">
      <c r="A129" s="144" t="s">
        <v>67</v>
      </c>
      <c r="B129" s="154" t="s">
        <v>68</v>
      </c>
      <c r="C129" s="144" t="s">
        <v>69</v>
      </c>
      <c r="D129" s="144" t="s">
        <v>70</v>
      </c>
      <c r="E129" s="144" t="s">
        <v>71</v>
      </c>
      <c r="F129" s="144" t="s">
        <v>72</v>
      </c>
    </row>
    <row r="130" spans="1:6" x14ac:dyDescent="0.3">
      <c r="A130" s="103" t="s">
        <v>38</v>
      </c>
      <c r="B130" s="127"/>
      <c r="C130" s="127"/>
      <c r="D130" s="127"/>
      <c r="E130" s="127"/>
      <c r="F130" s="127"/>
    </row>
    <row r="131" spans="1:6" x14ac:dyDescent="0.3">
      <c r="A131" s="103" t="s">
        <v>39</v>
      </c>
      <c r="B131" s="127"/>
      <c r="C131" s="127"/>
      <c r="D131" s="127"/>
      <c r="E131" s="127"/>
      <c r="F131" s="127"/>
    </row>
    <row r="132" spans="1:6" x14ac:dyDescent="0.3">
      <c r="A132" s="103" t="s">
        <v>41</v>
      </c>
      <c r="B132" s="127"/>
      <c r="C132" s="127"/>
      <c r="D132" s="127"/>
      <c r="E132" s="127"/>
      <c r="F132" s="127"/>
    </row>
    <row r="133" spans="1:6" x14ac:dyDescent="0.3">
      <c r="A133" s="103" t="s">
        <v>56</v>
      </c>
      <c r="B133" s="127"/>
      <c r="C133" s="127"/>
      <c r="D133" s="127"/>
      <c r="E133" s="127"/>
      <c r="F133" s="127"/>
    </row>
    <row r="134" spans="1:6" x14ac:dyDescent="0.3">
      <c r="A134" s="103" t="s">
        <v>3</v>
      </c>
      <c r="B134" s="128"/>
      <c r="C134" s="128"/>
      <c r="D134" s="128"/>
      <c r="E134" s="128"/>
      <c r="F134" s="128"/>
    </row>
    <row r="135" spans="1:6" x14ac:dyDescent="0.3">
      <c r="A135" s="103" t="s">
        <v>73</v>
      </c>
      <c r="B135" s="128"/>
      <c r="C135" s="128"/>
      <c r="D135" s="128"/>
      <c r="E135" s="128"/>
      <c r="F135" s="128"/>
    </row>
    <row r="136" spans="1:6" x14ac:dyDescent="0.3">
      <c r="A136" s="103" t="s">
        <v>74</v>
      </c>
      <c r="B136" s="127"/>
      <c r="C136" s="127"/>
      <c r="D136" s="127"/>
      <c r="E136" s="127"/>
      <c r="F136" s="127"/>
    </row>
    <row r="137" spans="1:6" x14ac:dyDescent="0.3">
      <c r="A137" s="103" t="s">
        <v>75</v>
      </c>
      <c r="B137" s="128"/>
      <c r="C137" s="128"/>
      <c r="D137" s="128"/>
      <c r="E137" s="128"/>
      <c r="F137" s="128"/>
    </row>
    <row r="139" spans="1:6" x14ac:dyDescent="0.3">
      <c r="A139" s="144" t="s">
        <v>67</v>
      </c>
      <c r="B139" s="154" t="s">
        <v>68</v>
      </c>
      <c r="C139" s="144" t="s">
        <v>69</v>
      </c>
      <c r="D139" s="144" t="s">
        <v>70</v>
      </c>
      <c r="E139" s="144" t="s">
        <v>71</v>
      </c>
      <c r="F139" s="144" t="s">
        <v>72</v>
      </c>
    </row>
    <row r="140" spans="1:6" x14ac:dyDescent="0.3">
      <c r="A140" s="103" t="s">
        <v>38</v>
      </c>
      <c r="B140" s="127"/>
      <c r="C140" s="127"/>
      <c r="D140" s="127"/>
      <c r="E140" s="127"/>
      <c r="F140" s="127"/>
    </row>
    <row r="141" spans="1:6" x14ac:dyDescent="0.3">
      <c r="A141" s="103" t="s">
        <v>39</v>
      </c>
      <c r="B141" s="127"/>
      <c r="C141" s="127"/>
      <c r="D141" s="127"/>
      <c r="E141" s="127"/>
      <c r="F141" s="127"/>
    </row>
    <row r="142" spans="1:6" x14ac:dyDescent="0.3">
      <c r="A142" s="103" t="s">
        <v>41</v>
      </c>
      <c r="B142" s="127"/>
      <c r="C142" s="127"/>
      <c r="D142" s="127"/>
      <c r="E142" s="127"/>
      <c r="F142" s="127"/>
    </row>
    <row r="143" spans="1:6" x14ac:dyDescent="0.3">
      <c r="A143" s="103" t="s">
        <v>56</v>
      </c>
      <c r="B143" s="127"/>
      <c r="C143" s="127"/>
      <c r="D143" s="127"/>
      <c r="E143" s="127"/>
      <c r="F143" s="127"/>
    </row>
    <row r="144" spans="1:6" x14ac:dyDescent="0.3">
      <c r="A144" s="103" t="s">
        <v>3</v>
      </c>
      <c r="B144" s="128"/>
      <c r="C144" s="128"/>
      <c r="D144" s="128"/>
      <c r="E144" s="128"/>
      <c r="F144" s="128"/>
    </row>
    <row r="145" spans="1:6" x14ac:dyDescent="0.3">
      <c r="A145" s="103" t="s">
        <v>73</v>
      </c>
      <c r="B145" s="128"/>
      <c r="C145" s="128"/>
      <c r="D145" s="128"/>
      <c r="E145" s="128"/>
      <c r="F145" s="128"/>
    </row>
    <row r="146" spans="1:6" x14ac:dyDescent="0.3">
      <c r="A146" s="103" t="s">
        <v>74</v>
      </c>
      <c r="B146" s="127"/>
      <c r="C146" s="127"/>
      <c r="D146" s="127"/>
      <c r="E146" s="127"/>
      <c r="F146" s="127"/>
    </row>
    <row r="147" spans="1:6" x14ac:dyDescent="0.3">
      <c r="A147" s="103" t="s">
        <v>75</v>
      </c>
      <c r="B147" s="128"/>
      <c r="C147" s="128"/>
      <c r="D147" s="128"/>
      <c r="E147" s="128"/>
      <c r="F147" s="128"/>
    </row>
    <row r="149" spans="1:6" x14ac:dyDescent="0.3">
      <c r="A149" s="144" t="s">
        <v>67</v>
      </c>
      <c r="B149" s="154" t="s">
        <v>68</v>
      </c>
      <c r="C149" s="144" t="s">
        <v>69</v>
      </c>
      <c r="D149" s="144" t="s">
        <v>70</v>
      </c>
      <c r="E149" s="144" t="s">
        <v>71</v>
      </c>
      <c r="F149" s="144" t="s">
        <v>72</v>
      </c>
    </row>
    <row r="150" spans="1:6" x14ac:dyDescent="0.3">
      <c r="A150" s="103" t="s">
        <v>38</v>
      </c>
      <c r="B150" s="127"/>
      <c r="C150" s="127"/>
      <c r="D150" s="127"/>
      <c r="E150" s="127"/>
      <c r="F150" s="127"/>
    </row>
    <row r="151" spans="1:6" x14ac:dyDescent="0.3">
      <c r="A151" s="103" t="s">
        <v>39</v>
      </c>
      <c r="B151" s="127"/>
      <c r="C151" s="127"/>
      <c r="D151" s="127"/>
      <c r="E151" s="127"/>
      <c r="F151" s="127"/>
    </row>
    <row r="152" spans="1:6" x14ac:dyDescent="0.3">
      <c r="A152" s="103" t="s">
        <v>41</v>
      </c>
      <c r="B152" s="127"/>
      <c r="C152" s="127"/>
      <c r="D152" s="127"/>
      <c r="E152" s="127"/>
      <c r="F152" s="127"/>
    </row>
    <row r="153" spans="1:6" x14ac:dyDescent="0.3">
      <c r="A153" s="103" t="s">
        <v>56</v>
      </c>
      <c r="B153" s="127"/>
      <c r="C153" s="127"/>
      <c r="D153" s="127"/>
      <c r="E153" s="127"/>
      <c r="F153" s="127"/>
    </row>
    <row r="154" spans="1:6" x14ac:dyDescent="0.3">
      <c r="A154" s="103" t="s">
        <v>3</v>
      </c>
      <c r="B154" s="128"/>
      <c r="C154" s="128"/>
      <c r="D154" s="128"/>
      <c r="E154" s="128"/>
      <c r="F154" s="128"/>
    </row>
    <row r="155" spans="1:6" x14ac:dyDescent="0.3">
      <c r="A155" s="103" t="s">
        <v>73</v>
      </c>
      <c r="B155" s="128"/>
      <c r="C155" s="128"/>
      <c r="D155" s="128"/>
      <c r="E155" s="128"/>
      <c r="F155" s="128"/>
    </row>
    <row r="156" spans="1:6" x14ac:dyDescent="0.3">
      <c r="A156" s="103" t="s">
        <v>74</v>
      </c>
      <c r="B156" s="127"/>
      <c r="C156" s="127"/>
      <c r="D156" s="127"/>
      <c r="E156" s="127"/>
      <c r="F156" s="127"/>
    </row>
    <row r="157" spans="1:6" x14ac:dyDescent="0.3">
      <c r="A157" s="103" t="s">
        <v>75</v>
      </c>
      <c r="B157" s="128"/>
      <c r="C157" s="128"/>
      <c r="D157" s="128"/>
      <c r="E157" s="128"/>
      <c r="F157" s="128"/>
    </row>
    <row r="160" spans="1:6" x14ac:dyDescent="0.3">
      <c r="A160" s="208"/>
      <c r="B160" s="150"/>
      <c r="C160" s="150"/>
      <c r="D160" s="150"/>
      <c r="E160" s="150"/>
      <c r="F160" s="150"/>
    </row>
    <row r="161" spans="1:6" x14ac:dyDescent="0.3">
      <c r="A161" s="144" t="s">
        <v>76</v>
      </c>
      <c r="B161" s="154" t="s">
        <v>68</v>
      </c>
      <c r="C161" s="144" t="s">
        <v>69</v>
      </c>
      <c r="D161" s="144" t="s">
        <v>70</v>
      </c>
      <c r="E161" s="144" t="s">
        <v>71</v>
      </c>
      <c r="F161" s="144" t="s">
        <v>72</v>
      </c>
    </row>
    <row r="162" spans="1:6" x14ac:dyDescent="0.3">
      <c r="A162" s="103" t="s">
        <v>38</v>
      </c>
      <c r="B162" s="127"/>
      <c r="C162" s="127"/>
      <c r="D162" s="127"/>
      <c r="E162" s="127"/>
      <c r="F162" s="127"/>
    </row>
    <row r="163" spans="1:6" x14ac:dyDescent="0.3">
      <c r="A163" s="103" t="s">
        <v>39</v>
      </c>
      <c r="B163" s="127"/>
      <c r="C163" s="127"/>
      <c r="D163" s="127"/>
      <c r="E163" s="127"/>
      <c r="F163" s="127"/>
    </row>
    <row r="164" spans="1:6" x14ac:dyDescent="0.3">
      <c r="A164" s="103" t="s">
        <v>41</v>
      </c>
      <c r="B164" s="127"/>
      <c r="C164" s="127"/>
      <c r="D164" s="127"/>
      <c r="E164" s="127"/>
      <c r="F164" s="127"/>
    </row>
    <row r="165" spans="1:6" x14ac:dyDescent="0.3">
      <c r="A165" s="103" t="s">
        <v>56</v>
      </c>
      <c r="B165" s="127"/>
      <c r="C165" s="127"/>
      <c r="D165" s="127"/>
      <c r="E165" s="127"/>
      <c r="F165" s="127"/>
    </row>
    <row r="166" spans="1:6" x14ac:dyDescent="0.3">
      <c r="A166" s="103" t="s">
        <v>3</v>
      </c>
      <c r="B166" s="128"/>
      <c r="C166" s="128"/>
      <c r="D166" s="128"/>
      <c r="E166" s="128"/>
      <c r="F166" s="128"/>
    </row>
    <row r="167" spans="1:6" x14ac:dyDescent="0.3">
      <c r="A167" s="103" t="s">
        <v>73</v>
      </c>
      <c r="B167" s="128"/>
      <c r="C167" s="128"/>
      <c r="D167" s="128"/>
      <c r="E167" s="128"/>
      <c r="F167" s="128"/>
    </row>
    <row r="168" spans="1:6" x14ac:dyDescent="0.3">
      <c r="A168" s="103" t="s">
        <v>74</v>
      </c>
      <c r="B168" s="127"/>
      <c r="C168" s="127"/>
      <c r="D168" s="127"/>
      <c r="E168" s="127"/>
      <c r="F168" s="127"/>
    </row>
    <row r="169" spans="1:6" x14ac:dyDescent="0.3">
      <c r="A169" s="103" t="s">
        <v>75</v>
      </c>
      <c r="B169" s="128"/>
      <c r="C169" s="128"/>
      <c r="D169" s="128"/>
      <c r="E169" s="128"/>
      <c r="F169" s="128"/>
    </row>
    <row r="171" spans="1:6" x14ac:dyDescent="0.3">
      <c r="A171" s="144" t="s">
        <v>76</v>
      </c>
      <c r="B171" s="154" t="s">
        <v>68</v>
      </c>
      <c r="C171" s="144" t="s">
        <v>69</v>
      </c>
      <c r="D171" s="144" t="s">
        <v>70</v>
      </c>
      <c r="E171" s="144" t="s">
        <v>71</v>
      </c>
      <c r="F171" s="144" t="s">
        <v>72</v>
      </c>
    </row>
    <row r="172" spans="1:6" x14ac:dyDescent="0.3">
      <c r="A172" s="103" t="s">
        <v>38</v>
      </c>
      <c r="B172" s="127"/>
      <c r="C172" s="127"/>
      <c r="D172" s="127"/>
      <c r="E172" s="127"/>
      <c r="F172" s="127"/>
    </row>
    <row r="173" spans="1:6" x14ac:dyDescent="0.3">
      <c r="A173" s="103" t="s">
        <v>39</v>
      </c>
      <c r="B173" s="127"/>
      <c r="C173" s="127"/>
      <c r="D173" s="127"/>
      <c r="E173" s="127"/>
      <c r="F173" s="127"/>
    </row>
    <row r="174" spans="1:6" x14ac:dyDescent="0.3">
      <c r="A174" s="103" t="s">
        <v>41</v>
      </c>
      <c r="B174" s="127"/>
      <c r="C174" s="127"/>
      <c r="D174" s="127"/>
      <c r="E174" s="127"/>
      <c r="F174" s="127"/>
    </row>
    <row r="175" spans="1:6" x14ac:dyDescent="0.3">
      <c r="A175" s="103" t="s">
        <v>56</v>
      </c>
      <c r="B175" s="127"/>
      <c r="C175" s="127"/>
      <c r="D175" s="127"/>
      <c r="E175" s="127"/>
      <c r="F175" s="127"/>
    </row>
    <row r="176" spans="1:6" x14ac:dyDescent="0.3">
      <c r="A176" s="103" t="s">
        <v>3</v>
      </c>
      <c r="B176" s="128"/>
      <c r="C176" s="128"/>
      <c r="D176" s="128"/>
      <c r="E176" s="128"/>
      <c r="F176" s="128"/>
    </row>
    <row r="177" spans="1:9" x14ac:dyDescent="0.3">
      <c r="A177" s="103" t="s">
        <v>73</v>
      </c>
      <c r="B177" s="128"/>
      <c r="C177" s="128"/>
      <c r="D177" s="128"/>
      <c r="E177" s="128"/>
      <c r="F177" s="128"/>
    </row>
    <row r="178" spans="1:9" x14ac:dyDescent="0.3">
      <c r="A178" s="103" t="s">
        <v>74</v>
      </c>
      <c r="B178" s="127"/>
      <c r="C178" s="127"/>
      <c r="D178" s="127"/>
      <c r="E178" s="127"/>
      <c r="F178" s="127"/>
    </row>
    <row r="179" spans="1:9" x14ac:dyDescent="0.3">
      <c r="A179" s="103" t="s">
        <v>75</v>
      </c>
      <c r="B179" s="128"/>
      <c r="C179" s="128"/>
      <c r="D179" s="128"/>
      <c r="E179" s="128"/>
      <c r="F179" s="128"/>
    </row>
    <row r="181" spans="1:9" x14ac:dyDescent="0.3">
      <c r="A181" s="144" t="s">
        <v>76</v>
      </c>
      <c r="B181" s="154" t="s">
        <v>68</v>
      </c>
      <c r="C181" s="144" t="s">
        <v>69</v>
      </c>
      <c r="D181" s="144" t="s">
        <v>70</v>
      </c>
      <c r="E181" s="144" t="s">
        <v>71</v>
      </c>
      <c r="F181" s="144" t="s">
        <v>72</v>
      </c>
    </row>
    <row r="182" spans="1:9" x14ac:dyDescent="0.3">
      <c r="A182" s="103" t="s">
        <v>38</v>
      </c>
      <c r="B182" s="127"/>
      <c r="C182" s="127"/>
      <c r="D182" s="127"/>
      <c r="E182" s="127"/>
      <c r="F182" s="127"/>
    </row>
    <row r="183" spans="1:9" x14ac:dyDescent="0.3">
      <c r="A183" s="103" t="s">
        <v>39</v>
      </c>
      <c r="B183" s="127"/>
      <c r="C183" s="127"/>
      <c r="D183" s="127"/>
      <c r="E183" s="127"/>
      <c r="F183" s="127"/>
    </row>
    <row r="184" spans="1:9" x14ac:dyDescent="0.3">
      <c r="A184" s="103" t="s">
        <v>41</v>
      </c>
      <c r="B184" s="127"/>
      <c r="C184" s="127"/>
      <c r="D184" s="127"/>
      <c r="E184" s="127"/>
      <c r="F184" s="127"/>
    </row>
    <row r="185" spans="1:9" x14ac:dyDescent="0.3">
      <c r="A185" s="103" t="s">
        <v>56</v>
      </c>
      <c r="B185" s="127"/>
      <c r="C185" s="127"/>
      <c r="D185" s="127"/>
      <c r="E185" s="127"/>
      <c r="F185" s="127"/>
    </row>
    <row r="186" spans="1:9" x14ac:dyDescent="0.3">
      <c r="A186" s="103" t="s">
        <v>3</v>
      </c>
      <c r="B186" s="128"/>
      <c r="C186" s="128"/>
      <c r="D186" s="128"/>
      <c r="E186" s="128"/>
      <c r="F186" s="128"/>
    </row>
    <row r="187" spans="1:9" x14ac:dyDescent="0.3">
      <c r="A187" s="103" t="s">
        <v>73</v>
      </c>
      <c r="B187" s="128"/>
      <c r="C187" s="128"/>
      <c r="D187" s="128"/>
      <c r="E187" s="128"/>
      <c r="F187" s="128"/>
    </row>
    <row r="188" spans="1:9" x14ac:dyDescent="0.3">
      <c r="A188" s="103" t="s">
        <v>74</v>
      </c>
      <c r="B188" s="127"/>
      <c r="C188" s="127"/>
      <c r="D188" s="127"/>
      <c r="E188" s="127"/>
      <c r="F188" s="127"/>
    </row>
    <row r="189" spans="1:9" x14ac:dyDescent="0.3">
      <c r="A189" s="103" t="s">
        <v>75</v>
      </c>
      <c r="B189" s="128"/>
      <c r="C189" s="128"/>
      <c r="D189" s="128"/>
      <c r="E189" s="128"/>
      <c r="F189" s="128"/>
    </row>
    <row r="192" spans="1:9" x14ac:dyDescent="0.3">
      <c r="A192" s="1" t="s">
        <v>77</v>
      </c>
      <c r="B192" s="11"/>
      <c r="C192" s="2"/>
      <c r="D192" s="2"/>
      <c r="E192" s="2"/>
      <c r="F192" s="2"/>
      <c r="G192" s="2"/>
      <c r="H192" s="2"/>
      <c r="I192" s="13" t="s">
        <v>78</v>
      </c>
    </row>
    <row r="193" spans="1:9" ht="16.5" customHeight="1" x14ac:dyDescent="0.3">
      <c r="A193" s="211" t="s">
        <v>79</v>
      </c>
      <c r="B193" s="211" t="s">
        <v>80</v>
      </c>
      <c r="C193" s="211" t="s">
        <v>81</v>
      </c>
      <c r="D193" s="213"/>
      <c r="E193" s="214"/>
      <c r="F193" s="211" t="s">
        <v>25</v>
      </c>
      <c r="G193" s="214"/>
    </row>
    <row r="194" spans="1:9" x14ac:dyDescent="0.3">
      <c r="A194" s="212"/>
      <c r="B194" s="212"/>
      <c r="C194" s="144" t="s">
        <v>81</v>
      </c>
      <c r="D194" s="144" t="s">
        <v>82</v>
      </c>
      <c r="E194" s="144" t="s">
        <v>83</v>
      </c>
      <c r="F194" s="144" t="s">
        <v>25</v>
      </c>
      <c r="G194" s="144" t="s">
        <v>84</v>
      </c>
    </row>
    <row r="195" spans="1:9" x14ac:dyDescent="0.3">
      <c r="A195" s="144" t="s">
        <v>85</v>
      </c>
      <c r="B195" s="5"/>
      <c r="C195" s="127"/>
      <c r="D195" s="127"/>
      <c r="E195" s="128"/>
      <c r="F195" s="128"/>
      <c r="G195" s="128"/>
    </row>
    <row r="196" spans="1:9" x14ac:dyDescent="0.3">
      <c r="A196" s="103"/>
      <c r="B196" s="129"/>
      <c r="C196" s="127"/>
      <c r="D196" s="127"/>
      <c r="E196" s="128"/>
      <c r="F196" s="128"/>
      <c r="G196" s="128"/>
    </row>
    <row r="197" spans="1:9" x14ac:dyDescent="0.3">
      <c r="A197" s="103"/>
      <c r="B197" s="129"/>
      <c r="C197" s="127"/>
      <c r="D197" s="127"/>
      <c r="E197" s="128"/>
      <c r="F197" s="128"/>
      <c r="G197" s="128"/>
    </row>
    <row r="198" spans="1:9" x14ac:dyDescent="0.3">
      <c r="A198" s="103"/>
      <c r="B198" s="129"/>
      <c r="C198" s="127"/>
      <c r="D198" s="127"/>
      <c r="E198" s="128"/>
      <c r="F198" s="128"/>
      <c r="G198" s="128"/>
    </row>
    <row r="199" spans="1:9" x14ac:dyDescent="0.3">
      <c r="A199" s="103"/>
      <c r="B199" s="129"/>
      <c r="C199" s="127"/>
      <c r="D199" s="127"/>
      <c r="E199" s="128"/>
      <c r="F199" s="128"/>
      <c r="G199" s="128"/>
    </row>
    <row r="200" spans="1:9" x14ac:dyDescent="0.3">
      <c r="A200" s="103"/>
      <c r="B200" s="129"/>
      <c r="C200" s="127"/>
      <c r="D200" s="127"/>
      <c r="E200" s="128"/>
      <c r="F200" s="128"/>
      <c r="G200" s="128"/>
    </row>
    <row r="201" spans="1:9" x14ac:dyDescent="0.3">
      <c r="A201" s="103"/>
      <c r="B201" s="129"/>
      <c r="C201" s="127"/>
      <c r="D201" s="127"/>
      <c r="E201" s="128"/>
      <c r="F201" s="128"/>
      <c r="G201" s="128"/>
    </row>
    <row r="202" spans="1:9" x14ac:dyDescent="0.3">
      <c r="A202" s="103"/>
      <c r="B202" s="129"/>
      <c r="C202" s="127"/>
      <c r="D202" s="127"/>
      <c r="E202" s="128"/>
      <c r="F202" s="128"/>
      <c r="G202" s="128"/>
    </row>
    <row r="203" spans="1:9" x14ac:dyDescent="0.3">
      <c r="A203" s="103"/>
      <c r="B203" s="129"/>
      <c r="C203" s="127"/>
      <c r="D203" s="127"/>
      <c r="E203" s="128"/>
      <c r="F203" s="128"/>
      <c r="G203" s="128"/>
    </row>
    <row r="204" spans="1:9" x14ac:dyDescent="0.3">
      <c r="A204" s="103"/>
      <c r="B204" s="129"/>
      <c r="C204" s="127"/>
      <c r="D204" s="127"/>
      <c r="E204" s="128"/>
      <c r="F204" s="128"/>
      <c r="G204" s="128"/>
    </row>
    <row r="205" spans="1:9" x14ac:dyDescent="0.3">
      <c r="A205" s="103"/>
      <c r="B205" s="129"/>
      <c r="C205" s="127"/>
      <c r="D205" s="127"/>
      <c r="E205" s="128"/>
      <c r="F205" s="128"/>
      <c r="G205" s="128"/>
    </row>
    <row r="207" spans="1:9" x14ac:dyDescent="0.3">
      <c r="I207" s="19" t="s">
        <v>86</v>
      </c>
    </row>
    <row r="208" spans="1:9" x14ac:dyDescent="0.3">
      <c r="A208" s="1" t="s">
        <v>87</v>
      </c>
      <c r="B208" s="11"/>
      <c r="C208" s="2"/>
      <c r="D208" s="2"/>
      <c r="E208" s="2"/>
      <c r="F208" s="2"/>
      <c r="G208" s="2"/>
      <c r="H208" s="2"/>
      <c r="I208" s="13" t="s">
        <v>88</v>
      </c>
    </row>
    <row r="209" spans="1:9" x14ac:dyDescent="0.3">
      <c r="A209" s="208"/>
      <c r="B209" s="155"/>
      <c r="C209" s="155"/>
      <c r="D209" s="155"/>
      <c r="E209" s="155"/>
      <c r="F209" s="143"/>
    </row>
    <row r="210" spans="1:9" x14ac:dyDescent="0.3">
      <c r="A210" s="142" t="s">
        <v>89</v>
      </c>
      <c r="B210" s="156"/>
      <c r="C210" s="156"/>
      <c r="D210" s="156"/>
      <c r="E210" s="156"/>
      <c r="F210" s="156"/>
    </row>
    <row r="211" spans="1:9" x14ac:dyDescent="0.3">
      <c r="A211" s="141" t="s">
        <v>90</v>
      </c>
      <c r="B211" s="103"/>
      <c r="C211" s="103"/>
      <c r="D211" s="103"/>
      <c r="E211" s="103"/>
      <c r="F211" s="103"/>
    </row>
    <row r="212" spans="1:9" x14ac:dyDescent="0.3">
      <c r="A212" s="141" t="s">
        <v>91</v>
      </c>
      <c r="B212" s="103"/>
      <c r="C212" s="103"/>
      <c r="D212" s="103"/>
      <c r="E212" s="103"/>
      <c r="F212" s="103"/>
    </row>
    <row r="213" spans="1:9" x14ac:dyDescent="0.3">
      <c r="A213" s="141" t="s">
        <v>92</v>
      </c>
      <c r="B213" s="103"/>
      <c r="C213" s="103"/>
      <c r="D213" s="103"/>
      <c r="E213" s="103"/>
      <c r="F213" s="103"/>
    </row>
    <row r="214" spans="1:9" x14ac:dyDescent="0.3">
      <c r="A214" s="141" t="s">
        <v>93</v>
      </c>
      <c r="B214" s="103"/>
      <c r="C214" s="103"/>
      <c r="D214" s="103"/>
      <c r="E214" s="103"/>
      <c r="F214" s="103"/>
    </row>
    <row r="215" spans="1:9" x14ac:dyDescent="0.3">
      <c r="A215" s="141" t="s">
        <v>94</v>
      </c>
      <c r="B215" s="103"/>
      <c r="C215" s="103"/>
      <c r="D215" s="103"/>
      <c r="E215" s="103"/>
      <c r="F215" s="103"/>
    </row>
    <row r="217" spans="1:9" x14ac:dyDescent="0.3">
      <c r="A217" s="1" t="s">
        <v>95</v>
      </c>
      <c r="B217" s="11"/>
      <c r="C217" s="2"/>
      <c r="D217" s="2"/>
      <c r="E217" s="2"/>
      <c r="F217" s="2"/>
      <c r="G217" s="2"/>
      <c r="H217" s="2"/>
      <c r="I217" s="13" t="s">
        <v>88</v>
      </c>
    </row>
    <row r="218" spans="1:9" x14ac:dyDescent="0.3">
      <c r="A218" s="208"/>
      <c r="B218" s="155"/>
      <c r="C218" s="155"/>
      <c r="D218" s="155"/>
      <c r="E218" s="155"/>
      <c r="F218" s="143"/>
    </row>
    <row r="219" spans="1:9" x14ac:dyDescent="0.3">
      <c r="A219" s="142" t="s">
        <v>89</v>
      </c>
      <c r="B219" s="156"/>
      <c r="C219" s="156"/>
      <c r="D219" s="156"/>
      <c r="E219" s="156"/>
      <c r="F219" s="156"/>
    </row>
    <row r="220" spans="1:9" x14ac:dyDescent="0.3">
      <c r="A220" s="141" t="s">
        <v>90</v>
      </c>
      <c r="B220" s="103"/>
      <c r="C220" s="103"/>
      <c r="D220" s="103"/>
      <c r="E220" s="103"/>
      <c r="F220" s="103"/>
    </row>
    <row r="221" spans="1:9" x14ac:dyDescent="0.3">
      <c r="A221" s="141" t="s">
        <v>92</v>
      </c>
      <c r="B221" s="103"/>
      <c r="C221" s="103"/>
      <c r="D221" s="103"/>
      <c r="E221" s="103"/>
      <c r="F221" s="103"/>
    </row>
    <row r="222" spans="1:9" x14ac:dyDescent="0.3">
      <c r="A222" s="141" t="s">
        <v>93</v>
      </c>
      <c r="B222" s="103"/>
      <c r="C222" s="103"/>
      <c r="D222" s="103"/>
      <c r="E222" s="103"/>
      <c r="F222" s="103"/>
    </row>
    <row r="223" spans="1:9" x14ac:dyDescent="0.3">
      <c r="A223" s="141" t="s">
        <v>94</v>
      </c>
      <c r="B223" s="103"/>
      <c r="C223" s="103"/>
      <c r="D223" s="103"/>
      <c r="E223" s="103"/>
      <c r="F223" s="103"/>
    </row>
  </sheetData>
  <mergeCells count="7">
    <mergeCell ref="A193:A194"/>
    <mergeCell ref="B43:I43"/>
    <mergeCell ref="C193:E193"/>
    <mergeCell ref="B193:B194"/>
    <mergeCell ref="B72:I72"/>
    <mergeCell ref="F193:G193"/>
    <mergeCell ref="B102:I10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28"/>
  <sheetViews>
    <sheetView workbookViewId="0">
      <selection activeCell="A30" sqref="A30"/>
    </sheetView>
  </sheetViews>
  <sheetFormatPr defaultRowHeight="16.5" x14ac:dyDescent="0.3"/>
  <cols>
    <col min="1" max="1" width="30.625" style="118" customWidth="1"/>
    <col min="2" max="9" width="15.625" style="118" customWidth="1"/>
    <col min="16" max="16" width="9" style="87" customWidth="1"/>
  </cols>
  <sheetData>
    <row r="2" spans="1:16" s="3" customFormat="1" ht="15.75" customHeight="1" x14ac:dyDescent="0.3">
      <c r="A2" s="204" t="str">
        <f>Data!A42</f>
        <v>[주재무제표|연간]</v>
      </c>
      <c r="B2" s="150"/>
      <c r="C2" s="150"/>
      <c r="D2" s="150"/>
      <c r="E2" s="150"/>
      <c r="F2" s="150"/>
    </row>
    <row r="3" spans="1:16" s="3" customFormat="1" ht="15.75" customHeight="1" x14ac:dyDescent="0.3">
      <c r="A3" s="205">
        <f>Data!A43</f>
        <v>0</v>
      </c>
      <c r="B3" s="211" t="s">
        <v>37</v>
      </c>
      <c r="C3" s="213"/>
      <c r="D3" s="213"/>
      <c r="E3" s="213"/>
      <c r="F3" s="213"/>
      <c r="G3" s="213"/>
      <c r="H3" s="213"/>
      <c r="I3" s="214"/>
    </row>
    <row r="4" spans="1:16" s="12" customFormat="1" ht="15.75" customHeight="1" x14ac:dyDescent="0.3">
      <c r="A4" s="17"/>
      <c r="B4" s="151">
        <f>Data!B44</f>
        <v>0</v>
      </c>
      <c r="C4" s="151">
        <f>Data!C44</f>
        <v>0</v>
      </c>
      <c r="D4" s="151">
        <f>Data!D44</f>
        <v>0</v>
      </c>
      <c r="E4" s="151">
        <f>Data!E44</f>
        <v>0</v>
      </c>
      <c r="F4" s="151">
        <f>Data!F44</f>
        <v>0</v>
      </c>
      <c r="G4" s="151">
        <f>Data!G44</f>
        <v>0</v>
      </c>
      <c r="H4" s="151">
        <f>Data!H44</f>
        <v>0</v>
      </c>
      <c r="I4" s="151">
        <f>Data!I44</f>
        <v>0</v>
      </c>
    </row>
    <row r="5" spans="1:16" s="3" customFormat="1" ht="15.75" customHeight="1" x14ac:dyDescent="0.3">
      <c r="A5" s="152" t="s">
        <v>38</v>
      </c>
      <c r="B5" s="7">
        <f>Data!B45</f>
        <v>0</v>
      </c>
      <c r="C5" s="7">
        <f>Data!C45</f>
        <v>0</v>
      </c>
      <c r="D5" s="7">
        <f>Data!D45</f>
        <v>0</v>
      </c>
      <c r="E5" s="7">
        <f>Data!E45</f>
        <v>0</v>
      </c>
      <c r="F5" s="7">
        <f>Data!F45</f>
        <v>0</v>
      </c>
      <c r="G5" s="7">
        <f>Data!G45</f>
        <v>0</v>
      </c>
      <c r="H5" s="7">
        <f>Data!H45</f>
        <v>0</v>
      </c>
      <c r="I5" s="7">
        <f>Data!I45</f>
        <v>0</v>
      </c>
    </row>
    <row r="6" spans="1:16" s="3" customFormat="1" ht="15.75" customHeight="1" x14ac:dyDescent="0.3">
      <c r="A6" s="152" t="s">
        <v>41</v>
      </c>
      <c r="B6" s="7">
        <f>Data!B48</f>
        <v>0</v>
      </c>
      <c r="C6" s="7">
        <f>Data!C48</f>
        <v>0</v>
      </c>
      <c r="D6" s="7">
        <f>Data!D48</f>
        <v>0</v>
      </c>
      <c r="E6" s="7">
        <f>Data!E48</f>
        <v>0</v>
      </c>
      <c r="F6" s="7">
        <f>Data!F48</f>
        <v>0</v>
      </c>
      <c r="G6" s="7">
        <f>Data!G48</f>
        <v>0</v>
      </c>
      <c r="H6" s="7">
        <f>Data!H48</f>
        <v>0</v>
      </c>
      <c r="I6" s="7">
        <f>Data!I48</f>
        <v>0</v>
      </c>
    </row>
    <row r="7" spans="1:16" s="3" customFormat="1" ht="15.75" customHeight="1" x14ac:dyDescent="0.3">
      <c r="A7" s="153" t="s">
        <v>42</v>
      </c>
      <c r="B7" s="8">
        <f>Data!B49</f>
        <v>0</v>
      </c>
      <c r="C7" s="8">
        <f>Data!C49</f>
        <v>0</v>
      </c>
      <c r="D7" s="8">
        <f>Data!D49</f>
        <v>0</v>
      </c>
      <c r="E7" s="8">
        <f>Data!E49</f>
        <v>0</v>
      </c>
      <c r="F7" s="8">
        <f>Data!F49</f>
        <v>0</v>
      </c>
      <c r="G7" s="8">
        <f>Data!G49</f>
        <v>0</v>
      </c>
      <c r="H7" s="8">
        <f>Data!H49</f>
        <v>0</v>
      </c>
      <c r="I7" s="8">
        <f>Data!I49</f>
        <v>0</v>
      </c>
    </row>
    <row r="8" spans="1:16" s="3" customFormat="1" ht="15.75" customHeight="1" x14ac:dyDescent="0.3">
      <c r="A8" s="152" t="s">
        <v>46</v>
      </c>
      <c r="B8" s="7">
        <f>Data!B53</f>
        <v>0</v>
      </c>
      <c r="C8" s="7">
        <f>Data!C53</f>
        <v>0</v>
      </c>
      <c r="D8" s="7">
        <f>Data!D53</f>
        <v>0</v>
      </c>
      <c r="E8" s="7">
        <f>Data!E53</f>
        <v>0</v>
      </c>
      <c r="F8" s="7">
        <f>Data!F53</f>
        <v>0</v>
      </c>
      <c r="G8" s="7">
        <f>Data!G53</f>
        <v>0</v>
      </c>
      <c r="H8" s="7">
        <f>Data!H53</f>
        <v>0</v>
      </c>
      <c r="I8" s="7">
        <f>Data!I53</f>
        <v>0</v>
      </c>
    </row>
    <row r="9" spans="1:16" s="3" customFormat="1" ht="15.75" customHeight="1" x14ac:dyDescent="0.3">
      <c r="A9" s="153" t="s">
        <v>47</v>
      </c>
      <c r="B9" s="8">
        <f>Data!B54</f>
        <v>0</v>
      </c>
      <c r="C9" s="8">
        <f>Data!C54</f>
        <v>0</v>
      </c>
      <c r="D9" s="8">
        <f>Data!D54</f>
        <v>0</v>
      </c>
      <c r="E9" s="8">
        <f>Data!E54</f>
        <v>0</v>
      </c>
      <c r="F9" s="8">
        <f>Data!F54</f>
        <v>0</v>
      </c>
      <c r="G9" s="8">
        <f>Data!G54</f>
        <v>0</v>
      </c>
      <c r="H9" s="8">
        <f>Data!H54</f>
        <v>0</v>
      </c>
      <c r="I9" s="8">
        <f>Data!I54</f>
        <v>0</v>
      </c>
    </row>
    <row r="10" spans="1:16" x14ac:dyDescent="0.3">
      <c r="A10" s="152" t="s">
        <v>55</v>
      </c>
      <c r="B10" s="20">
        <f>Data!B62</f>
        <v>0</v>
      </c>
      <c r="C10" s="20">
        <f>Data!C62</f>
        <v>0</v>
      </c>
      <c r="D10" s="20">
        <f>Data!D62</f>
        <v>0</v>
      </c>
      <c r="E10" s="20">
        <f>Data!E62</f>
        <v>0</v>
      </c>
      <c r="F10" s="20">
        <f>Data!F62</f>
        <v>0</v>
      </c>
      <c r="G10" s="20">
        <f>Data!G62</f>
        <v>0</v>
      </c>
      <c r="H10" s="20">
        <f>Data!H62</f>
        <v>0</v>
      </c>
      <c r="I10" s="20">
        <f>Data!I62</f>
        <v>0</v>
      </c>
      <c r="P10"/>
    </row>
    <row r="11" spans="1:16" x14ac:dyDescent="0.3">
      <c r="P11"/>
    </row>
    <row r="12" spans="1:16" s="3" customFormat="1" ht="15.75" customHeight="1" x14ac:dyDescent="0.3">
      <c r="A12" s="204" t="str">
        <f>Data!A71</f>
        <v>[주재무제표|분기]</v>
      </c>
      <c r="B12" s="150"/>
      <c r="C12" s="150"/>
      <c r="D12" s="150"/>
      <c r="E12" s="150"/>
      <c r="F12" s="150"/>
      <c r="K12" s="12"/>
      <c r="M12" s="94"/>
      <c r="O12" s="12"/>
      <c r="P12" s="12"/>
    </row>
    <row r="13" spans="1:16" s="3" customFormat="1" ht="15.75" customHeight="1" x14ac:dyDescent="0.3">
      <c r="A13" s="205">
        <f>Data!A72</f>
        <v>0</v>
      </c>
      <c r="B13" s="211" t="s">
        <v>62</v>
      </c>
      <c r="C13" s="213"/>
      <c r="D13" s="213"/>
      <c r="E13" s="213"/>
      <c r="F13" s="213"/>
      <c r="G13" s="213"/>
      <c r="H13" s="213"/>
      <c r="I13" s="214"/>
      <c r="K13" s="12" t="s">
        <v>96</v>
      </c>
      <c r="M13" s="94" t="s">
        <v>97</v>
      </c>
      <c r="O13" s="12" t="s">
        <v>98</v>
      </c>
      <c r="P13" s="12"/>
    </row>
    <row r="14" spans="1:16" s="12" customFormat="1" ht="15.75" customHeight="1" x14ac:dyDescent="0.3">
      <c r="A14" s="17"/>
      <c r="B14" s="157">
        <f>Data!B73</f>
        <v>0</v>
      </c>
      <c r="C14" s="157">
        <f>Data!C73</f>
        <v>0</v>
      </c>
      <c r="D14" s="157">
        <f>Data!D73</f>
        <v>0</v>
      </c>
      <c r="E14" s="157">
        <f>Data!E73</f>
        <v>0</v>
      </c>
      <c r="F14" s="157">
        <f>Data!F73</f>
        <v>0</v>
      </c>
      <c r="G14" s="157">
        <f>Data!G73</f>
        <v>0</v>
      </c>
      <c r="H14" s="157">
        <f>Data!H73</f>
        <v>0</v>
      </c>
      <c r="I14" s="157">
        <f>Data!I73</f>
        <v>0</v>
      </c>
      <c r="O14" s="12">
        <f>MONTH(F14)</f>
        <v>1</v>
      </c>
      <c r="P14" s="89" t="s">
        <v>99</v>
      </c>
    </row>
    <row r="15" spans="1:16" s="3" customFormat="1" ht="15.75" customHeight="1" x14ac:dyDescent="0.3">
      <c r="A15" s="152" t="s">
        <v>38</v>
      </c>
      <c r="B15" s="7">
        <f>Data!B74</f>
        <v>0</v>
      </c>
      <c r="C15" s="7">
        <f>Data!C74</f>
        <v>0</v>
      </c>
      <c r="D15" s="7">
        <f>Data!D74</f>
        <v>0</v>
      </c>
      <c r="E15" s="7">
        <f>Data!E74</f>
        <v>0</v>
      </c>
      <c r="F15" s="7">
        <f>Data!F74</f>
        <v>0</v>
      </c>
      <c r="G15" s="7">
        <f>Data!G74</f>
        <v>0</v>
      </c>
      <c r="H15" s="7">
        <f>Data!H74</f>
        <v>0</v>
      </c>
      <c r="I15" s="7">
        <f>Data!I74</f>
        <v>0</v>
      </c>
      <c r="O15" s="86">
        <f>MIN(B15:F15,B19:F19)</f>
        <v>0</v>
      </c>
      <c r="P15" s="96" t="s">
        <v>100</v>
      </c>
    </row>
    <row r="16" spans="1:16" s="3" customFormat="1" ht="15.75" customHeight="1" x14ac:dyDescent="0.3">
      <c r="A16" s="152" t="s">
        <v>41</v>
      </c>
      <c r="B16" s="88">
        <f>Data!B77</f>
        <v>0</v>
      </c>
      <c r="C16" s="88">
        <f>Data!C77</f>
        <v>0</v>
      </c>
      <c r="D16" s="88">
        <f>Data!D77</f>
        <v>0</v>
      </c>
      <c r="E16" s="88">
        <f>Data!E77</f>
        <v>0</v>
      </c>
      <c r="F16" s="88">
        <f>Data!F77</f>
        <v>0</v>
      </c>
      <c r="G16" s="88">
        <f>Data!G77</f>
        <v>0</v>
      </c>
      <c r="H16" s="88">
        <f>Data!H77</f>
        <v>0</v>
      </c>
      <c r="I16" s="88">
        <f>Data!I77</f>
        <v>0</v>
      </c>
      <c r="P16" s="90"/>
    </row>
    <row r="17" spans="1:16" s="3" customFormat="1" ht="15.75" customHeight="1" x14ac:dyDescent="0.3">
      <c r="A17" s="153" t="s">
        <v>42</v>
      </c>
      <c r="B17" s="8">
        <f>Data!B78</f>
        <v>0</v>
      </c>
      <c r="C17" s="8">
        <f>Data!C78</f>
        <v>0</v>
      </c>
      <c r="D17" s="8">
        <f>Data!D78</f>
        <v>0</v>
      </c>
      <c r="E17" s="8">
        <f>Data!E78</f>
        <v>0</v>
      </c>
      <c r="F17" s="8">
        <f>Data!F78</f>
        <v>0</v>
      </c>
      <c r="G17" s="8">
        <f>Data!G78</f>
        <v>0</v>
      </c>
      <c r="H17" s="8">
        <f>Data!H78</f>
        <v>0</v>
      </c>
      <c r="I17" s="8">
        <f>Data!I78</f>
        <v>0</v>
      </c>
      <c r="O17" s="86">
        <f>SUM(C17:F17)</f>
        <v>0</v>
      </c>
      <c r="P17" s="90" t="s">
        <v>101</v>
      </c>
    </row>
    <row r="18" spans="1:16" s="3" customFormat="1" ht="15.75" customHeight="1" x14ac:dyDescent="0.3">
      <c r="A18" s="152" t="s">
        <v>46</v>
      </c>
      <c r="B18" s="88">
        <f>Data!B82</f>
        <v>0</v>
      </c>
      <c r="C18" s="88">
        <f>Data!C82</f>
        <v>0</v>
      </c>
      <c r="D18" s="88">
        <f>Data!D82</f>
        <v>0</v>
      </c>
      <c r="E18" s="88">
        <f>Data!E82</f>
        <v>0</v>
      </c>
      <c r="F18" s="88">
        <f>Data!F82</f>
        <v>0</v>
      </c>
      <c r="G18" s="88">
        <f>Data!G82</f>
        <v>0</v>
      </c>
      <c r="H18" s="88">
        <f>Data!H82</f>
        <v>0</v>
      </c>
      <c r="I18" s="88">
        <f>Data!I82</f>
        <v>0</v>
      </c>
      <c r="P18" s="90"/>
    </row>
    <row r="19" spans="1:16" s="3" customFormat="1" ht="15.75" customHeight="1" x14ac:dyDescent="0.3">
      <c r="A19" s="153" t="s">
        <v>47</v>
      </c>
      <c r="B19" s="8">
        <f>Data!B83</f>
        <v>0</v>
      </c>
      <c r="C19" s="8">
        <f>Data!C83</f>
        <v>0</v>
      </c>
      <c r="D19" s="8">
        <f>Data!D83</f>
        <v>0</v>
      </c>
      <c r="E19" s="8">
        <f>Data!E83</f>
        <v>0</v>
      </c>
      <c r="F19" s="8">
        <f>Data!F83</f>
        <v>0</v>
      </c>
      <c r="G19" s="8">
        <f>Data!G83</f>
        <v>0</v>
      </c>
      <c r="H19" s="8">
        <f>Data!H83</f>
        <v>0</v>
      </c>
      <c r="I19" s="8">
        <f>Data!I83</f>
        <v>0</v>
      </c>
      <c r="O19" s="86">
        <f>AVERAGE(C19:F19)</f>
        <v>0</v>
      </c>
      <c r="P19" s="90" t="s">
        <v>97</v>
      </c>
    </row>
    <row r="20" spans="1:16" x14ac:dyDescent="0.3">
      <c r="A20" s="152" t="s">
        <v>55</v>
      </c>
      <c r="B20" s="20">
        <f>Data!B91</f>
        <v>0</v>
      </c>
      <c r="C20" s="20">
        <f>Data!C91</f>
        <v>0</v>
      </c>
      <c r="D20" s="20">
        <f>Data!D91</f>
        <v>0</v>
      </c>
      <c r="E20" s="20">
        <f>Data!E91</f>
        <v>0</v>
      </c>
      <c r="F20" s="20">
        <f>Data!F91</f>
        <v>0</v>
      </c>
      <c r="G20" s="20">
        <f>Data!G91</f>
        <v>0</v>
      </c>
      <c r="H20" s="20">
        <f>Data!H91</f>
        <v>0</v>
      </c>
      <c r="I20" s="20">
        <f>Data!I91</f>
        <v>0</v>
      </c>
      <c r="K20" s="93" t="str">
        <f t="array" ref="K20">IFERROR(_xlfn.IFS(IFERROR(M20,0)&lt;&gt;0, M20, IFERROR(O20,0)&lt;&gt;0, O20, IFERROR(M28,0)&lt;&gt;0, M28, TRUE, O28), "분기자료부족")</f>
        <v>분기자료부족</v>
      </c>
      <c r="M20" s="92" t="e">
        <f>AVERAGEIF(C20:F20,"&lt;&gt;0")/100</f>
        <v>#DIV/0!</v>
      </c>
      <c r="O20" s="93" t="e">
        <f>IF(O15=0, O19/O15, O17/O19)</f>
        <v>#DIV/0!</v>
      </c>
      <c r="P20" s="91" t="s">
        <v>102</v>
      </c>
    </row>
    <row r="21" spans="1:16" x14ac:dyDescent="0.3">
      <c r="O21" s="93"/>
      <c r="P21" s="91"/>
    </row>
    <row r="22" spans="1:16" s="3" customFormat="1" ht="15.75" customHeight="1" x14ac:dyDescent="0.3">
      <c r="A22" s="204" t="str">
        <f>Data!A101</f>
        <v>[별도|분기]</v>
      </c>
      <c r="B22" s="150"/>
      <c r="C22" s="150"/>
      <c r="D22" s="150"/>
      <c r="E22" s="150"/>
      <c r="F22" s="150"/>
      <c r="P22" s="90"/>
    </row>
    <row r="23" spans="1:16" s="3" customFormat="1" ht="15.75" customHeight="1" x14ac:dyDescent="0.3">
      <c r="A23" s="206" t="str">
        <f>Data!A102</f>
        <v>[IFRS 별도]</v>
      </c>
      <c r="B23" s="211" t="s">
        <v>62</v>
      </c>
      <c r="C23" s="213"/>
      <c r="D23" s="213"/>
      <c r="E23" s="213"/>
      <c r="F23" s="213"/>
      <c r="G23" s="213"/>
      <c r="H23" s="213"/>
      <c r="I23" s="214"/>
      <c r="P23" s="90"/>
    </row>
    <row r="24" spans="1:16" s="12" customFormat="1" ht="15.75" customHeight="1" x14ac:dyDescent="0.3">
      <c r="A24" s="17"/>
      <c r="B24" s="157">
        <f>Data!B103</f>
        <v>0</v>
      </c>
      <c r="C24" s="157">
        <f>Data!C103</f>
        <v>0</v>
      </c>
      <c r="D24" s="157">
        <f>Data!D103</f>
        <v>0</v>
      </c>
      <c r="E24" s="157">
        <f>Data!E103</f>
        <v>0</v>
      </c>
      <c r="F24" s="157">
        <f>Data!F103</f>
        <v>0</v>
      </c>
      <c r="G24" s="157">
        <f>Data!G103</f>
        <v>0</v>
      </c>
      <c r="H24" s="157">
        <f>Data!H103</f>
        <v>0</v>
      </c>
      <c r="I24" s="157">
        <f>Data!I103</f>
        <v>0</v>
      </c>
      <c r="O24" s="89">
        <f>MONTH(F24)</f>
        <v>1</v>
      </c>
      <c r="P24" s="89" t="s">
        <v>99</v>
      </c>
    </row>
    <row r="25" spans="1:16" s="3" customFormat="1" ht="15.75" customHeight="1" x14ac:dyDescent="0.3">
      <c r="A25" s="152" t="s">
        <v>38</v>
      </c>
      <c r="B25" s="7">
        <f>Data!B104</f>
        <v>0</v>
      </c>
      <c r="C25" s="7">
        <f>Data!C104</f>
        <v>0</v>
      </c>
      <c r="D25" s="7">
        <f>Data!D104</f>
        <v>0</v>
      </c>
      <c r="E25" s="7">
        <f>Data!E104</f>
        <v>0</v>
      </c>
      <c r="F25" s="7">
        <f>Data!F104</f>
        <v>0</v>
      </c>
      <c r="G25" s="7">
        <f>Data!G104</f>
        <v>0</v>
      </c>
      <c r="H25" s="7">
        <f>Data!H104</f>
        <v>0</v>
      </c>
      <c r="I25" s="7">
        <f>Data!I104</f>
        <v>0</v>
      </c>
      <c r="O25" s="86">
        <f>MIN(B25:F25,B27:F27)</f>
        <v>0</v>
      </c>
      <c r="P25" s="96" t="s">
        <v>100</v>
      </c>
    </row>
    <row r="26" spans="1:16" s="3" customFormat="1" ht="15.75" customHeight="1" x14ac:dyDescent="0.3">
      <c r="A26" s="153" t="s">
        <v>41</v>
      </c>
      <c r="B26" s="8">
        <f>Data!B107</f>
        <v>0</v>
      </c>
      <c r="C26" s="8">
        <f>Data!C107</f>
        <v>0</v>
      </c>
      <c r="D26" s="8">
        <f>Data!D107</f>
        <v>0</v>
      </c>
      <c r="E26" s="8">
        <f>Data!E107</f>
        <v>0</v>
      </c>
      <c r="F26" s="8">
        <f>Data!F107</f>
        <v>0</v>
      </c>
      <c r="G26" s="8">
        <f>Data!G107</f>
        <v>0</v>
      </c>
      <c r="H26" s="8">
        <f>Data!H107</f>
        <v>0</v>
      </c>
      <c r="I26" s="8">
        <f>Data!I107</f>
        <v>0</v>
      </c>
      <c r="O26" s="86">
        <f>SUM(C26:F26)</f>
        <v>0</v>
      </c>
      <c r="P26" s="90" t="s">
        <v>101</v>
      </c>
    </row>
    <row r="27" spans="1:16" s="3" customFormat="1" ht="15.75" customHeight="1" x14ac:dyDescent="0.3">
      <c r="A27" s="153" t="s">
        <v>46</v>
      </c>
      <c r="B27" s="8">
        <f>Data!B110</f>
        <v>0</v>
      </c>
      <c r="C27" s="8">
        <f>Data!C110</f>
        <v>0</v>
      </c>
      <c r="D27" s="8">
        <f>Data!D110</f>
        <v>0</v>
      </c>
      <c r="E27" s="8">
        <f>Data!E110</f>
        <v>0</v>
      </c>
      <c r="F27" s="8">
        <f>Data!F110</f>
        <v>0</v>
      </c>
      <c r="G27" s="8">
        <f>Data!G110</f>
        <v>0</v>
      </c>
      <c r="H27" s="8">
        <f>Data!H110</f>
        <v>0</v>
      </c>
      <c r="I27" s="8">
        <f>Data!I110</f>
        <v>0</v>
      </c>
      <c r="O27" s="86">
        <f>AVERAGE(C27:F27)</f>
        <v>0</v>
      </c>
      <c r="P27" s="90" t="s">
        <v>97</v>
      </c>
    </row>
    <row r="28" spans="1:16" s="3" customFormat="1" x14ac:dyDescent="0.3">
      <c r="A28" s="152" t="s">
        <v>55</v>
      </c>
      <c r="B28" s="10">
        <f>Data!B117</f>
        <v>0</v>
      </c>
      <c r="C28" s="10">
        <f>Data!C117</f>
        <v>0</v>
      </c>
      <c r="D28" s="10">
        <f>Data!D117</f>
        <v>0</v>
      </c>
      <c r="E28" s="10">
        <f>Data!E117</f>
        <v>0</v>
      </c>
      <c r="F28" s="10">
        <f>Data!F117</f>
        <v>0</v>
      </c>
      <c r="G28" s="10">
        <f>Data!G117</f>
        <v>0</v>
      </c>
      <c r="H28" s="10">
        <f>Data!H117</f>
        <v>0</v>
      </c>
      <c r="I28" s="10">
        <f>Data!I117</f>
        <v>0</v>
      </c>
      <c r="M28" s="92" t="e">
        <f>AVERAGEIF(C28:F28,"&lt;&gt;0")/100</f>
        <v>#DIV/0!</v>
      </c>
      <c r="O28" s="95" t="e">
        <f>IF(O25=0, O27/O25, O26/O27)</f>
        <v>#DIV/0!</v>
      </c>
      <c r="P28" s="91" t="s">
        <v>102</v>
      </c>
    </row>
  </sheetData>
  <mergeCells count="3">
    <mergeCell ref="B23:I23"/>
    <mergeCell ref="B13:I13"/>
    <mergeCell ref="B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AH27"/>
  <sheetViews>
    <sheetView tabSelected="1" workbookViewId="0">
      <selection activeCell="B1" sqref="B1"/>
    </sheetView>
  </sheetViews>
  <sheetFormatPr defaultRowHeight="15.75" x14ac:dyDescent="0.3"/>
  <cols>
    <col min="1" max="1" width="2.125" style="4" customWidth="1"/>
    <col min="2" max="2" width="21.625" style="4" customWidth="1"/>
    <col min="3" max="8" width="14.625" style="4" customWidth="1"/>
    <col min="9" max="9" width="15.625" style="97" customWidth="1"/>
    <col min="10" max="15" width="15.625" style="4" customWidth="1"/>
    <col min="16" max="18" width="9" style="4" customWidth="1"/>
    <col min="19" max="16384" width="9" style="4"/>
  </cols>
  <sheetData>
    <row r="1" spans="2:34" ht="16.5" customHeight="1" thickBot="1" x14ac:dyDescent="0.35"/>
    <row r="2" spans="2:34" ht="16.5" customHeight="1" thickBot="1" x14ac:dyDescent="0.35">
      <c r="B2" s="24" t="s">
        <v>103</v>
      </c>
    </row>
    <row r="3" spans="2:34" ht="16.5" customHeight="1" thickBot="1" x14ac:dyDescent="0.35">
      <c r="B3" s="25" t="s">
        <v>104</v>
      </c>
      <c r="C3" s="210" t="str">
        <f>Data!B3</f>
        <v>삼성전자</v>
      </c>
      <c r="D3" s="26" t="s">
        <v>105</v>
      </c>
      <c r="E3" s="27">
        <f>Data!B16</f>
        <v>0</v>
      </c>
      <c r="F3" s="28"/>
      <c r="G3" s="130" t="s">
        <v>106</v>
      </c>
      <c r="H3" s="158">
        <f>Data!B15</f>
        <v>0</v>
      </c>
    </row>
    <row r="4" spans="2:34" ht="16.5" customHeight="1" x14ac:dyDescent="0.3">
      <c r="B4" s="30" t="s">
        <v>107</v>
      </c>
      <c r="C4" s="132">
        <f>Data!B11</f>
        <v>0</v>
      </c>
      <c r="D4" s="31" t="s">
        <v>108</v>
      </c>
      <c r="E4" s="32">
        <f>Data!B17</f>
        <v>0</v>
      </c>
      <c r="G4" s="131" t="s">
        <v>3</v>
      </c>
      <c r="H4" s="159">
        <f>Data!B4</f>
        <v>0</v>
      </c>
    </row>
    <row r="5" spans="2:34" ht="16.5" customHeight="1" x14ac:dyDescent="0.3">
      <c r="B5" s="30" t="s">
        <v>109</v>
      </c>
      <c r="C5" s="34">
        <f>Data!B19</f>
        <v>0</v>
      </c>
      <c r="D5" s="31" t="s">
        <v>110</v>
      </c>
      <c r="E5" s="117">
        <f>Data!B22</f>
        <v>0</v>
      </c>
      <c r="F5" s="123"/>
      <c r="G5" s="131" t="s">
        <v>4</v>
      </c>
      <c r="H5" s="159">
        <f>Data!B5</f>
        <v>0</v>
      </c>
      <c r="AD5" s="4" t="s">
        <v>111</v>
      </c>
      <c r="AE5" s="4" t="s">
        <v>112</v>
      </c>
      <c r="AF5" s="35">
        <f>G18</f>
        <v>0</v>
      </c>
      <c r="AH5" s="4" t="s">
        <v>113</v>
      </c>
    </row>
    <row r="6" spans="2:34" ht="16.5" customHeight="1" thickBot="1" x14ac:dyDescent="0.35">
      <c r="B6" s="36"/>
      <c r="H6" s="33"/>
      <c r="AD6" s="4" t="s">
        <v>114</v>
      </c>
      <c r="AE6" s="4" t="s">
        <v>115</v>
      </c>
      <c r="AF6" s="35">
        <f>E18</f>
        <v>0</v>
      </c>
      <c r="AH6" s="4" t="s">
        <v>116</v>
      </c>
    </row>
    <row r="7" spans="2:34" ht="16.5" customHeight="1" thickBot="1" x14ac:dyDescent="0.35">
      <c r="B7" s="24" t="s">
        <v>117</v>
      </c>
      <c r="C7" s="28"/>
      <c r="D7" s="29"/>
      <c r="E7" s="28"/>
      <c r="F7" s="138" t="s">
        <v>23</v>
      </c>
      <c r="G7" s="139"/>
      <c r="H7" s="140"/>
    </row>
    <row r="8" spans="2:34" ht="16.5" customHeight="1" x14ac:dyDescent="0.3">
      <c r="B8" s="37" t="s">
        <v>118</v>
      </c>
      <c r="C8" s="38" t="s">
        <v>111</v>
      </c>
      <c r="D8" s="122">
        <v>0.125</v>
      </c>
      <c r="E8" s="28"/>
      <c r="F8" s="137" t="s">
        <v>119</v>
      </c>
      <c r="G8" s="160">
        <f>Data!C195</f>
        <v>0</v>
      </c>
      <c r="H8" s="161" t="e">
        <f>($C$4-G8)/G8</f>
        <v>#DIV/0!</v>
      </c>
    </row>
    <row r="9" spans="2:34" ht="16.5" customHeight="1" x14ac:dyDescent="0.3">
      <c r="B9" s="30" t="s">
        <v>120</v>
      </c>
      <c r="C9" s="39">
        <v>4.2500000000000003E-2</v>
      </c>
      <c r="D9" s="33"/>
      <c r="F9" s="135" t="s">
        <v>121</v>
      </c>
      <c r="G9" s="162">
        <f>MAX(Data!C196:C205)</f>
        <v>0</v>
      </c>
      <c r="H9" s="163" t="e">
        <f>($C$4-G9)/G9</f>
        <v>#DIV/0!</v>
      </c>
    </row>
    <row r="10" spans="2:34" ht="16.5" customHeight="1" thickBot="1" x14ac:dyDescent="0.35">
      <c r="B10" s="40" t="s">
        <v>122</v>
      </c>
      <c r="C10" s="41">
        <v>6.7500000000000004E-2</v>
      </c>
      <c r="D10" s="33"/>
      <c r="F10" s="135" t="s">
        <v>123</v>
      </c>
      <c r="G10" s="162">
        <f>MIN(Data!C196:C205)</f>
        <v>0</v>
      </c>
      <c r="H10" s="163" t="e">
        <f>($C$4-G10)/G10</f>
        <v>#DIV/0!</v>
      </c>
    </row>
    <row r="11" spans="2:34" ht="16.5" customHeight="1" thickBot="1" x14ac:dyDescent="0.35">
      <c r="B11" s="42" t="s">
        <v>124</v>
      </c>
      <c r="C11" s="43">
        <f>IF(C8="적용",D8,C9+C10*C5)</f>
        <v>0.125</v>
      </c>
      <c r="D11" s="33"/>
      <c r="F11" s="135" t="s">
        <v>12</v>
      </c>
      <c r="G11" s="164">
        <f>Data!B12</f>
        <v>0</v>
      </c>
      <c r="H11" s="163" t="e">
        <f>($C$4-G11)/G11</f>
        <v>#DIV/0!</v>
      </c>
    </row>
    <row r="12" spans="2:34" ht="16.5" customHeight="1" thickBot="1" x14ac:dyDescent="0.35">
      <c r="B12" s="44" t="s">
        <v>125</v>
      </c>
      <c r="C12" s="45" t="s">
        <v>126</v>
      </c>
      <c r="D12" s="46"/>
      <c r="E12" s="78"/>
      <c r="F12" s="136" t="s">
        <v>13</v>
      </c>
      <c r="G12" s="165">
        <f>Data!B13</f>
        <v>0</v>
      </c>
      <c r="H12" s="166" t="e">
        <f>($C$4-G12)/G12</f>
        <v>#DIV/0!</v>
      </c>
    </row>
    <row r="13" spans="2:34" ht="16.5" customHeight="1" thickBot="1" x14ac:dyDescent="0.35">
      <c r="B13" s="36"/>
      <c r="H13" s="33"/>
    </row>
    <row r="14" spans="2:34" ht="16.5" customHeight="1" thickBot="1" x14ac:dyDescent="0.35">
      <c r="B14" s="24" t="s">
        <v>127</v>
      </c>
      <c r="C14" s="47" t="s">
        <v>112</v>
      </c>
      <c r="D14" s="48">
        <f>VLOOKUP(C14,AE5:AF6,2,FALSE)</f>
        <v>0</v>
      </c>
      <c r="E14" s="49" t="str">
        <f>IF(I14="연도오류","연도 오류 - 서식 지우기 실행 (사용법 참조)","")</f>
        <v>연도 오류 - 서식 지우기 실행 (사용법 참조)</v>
      </c>
      <c r="H14" s="33"/>
      <c r="I14" s="120" t="str">
        <f>IF(C15&lt;2000,"연도오류","")</f>
        <v>연도오류</v>
      </c>
    </row>
    <row r="15" spans="2:34" x14ac:dyDescent="0.3">
      <c r="B15" s="51" t="s">
        <v>128</v>
      </c>
      <c r="C15" s="82">
        <f>YEAR(Data!B44)</f>
        <v>1900</v>
      </c>
      <c r="D15" s="82">
        <f>YEAR(Data!C44)</f>
        <v>1900</v>
      </c>
      <c r="E15" s="82">
        <f>YEAR(Data!D44)</f>
        <v>1900</v>
      </c>
      <c r="F15" s="82">
        <f>YEAR(Data!E44)</f>
        <v>1900</v>
      </c>
      <c r="G15" s="82">
        <f>YEAR(Data!F44)</f>
        <v>1900</v>
      </c>
      <c r="H15" s="167" t="s">
        <v>129</v>
      </c>
      <c r="I15" s="98" t="str">
        <f>IF(H16="분기자료부족",IF(F16&gt;E16,IF(G16&gt;F16,"상승추세",""),""),IF(F16&gt;E16,IF(H16&gt;F16,"상승추세",""),""))</f>
        <v/>
      </c>
      <c r="J15" s="168">
        <f>Q!O14</f>
        <v>1</v>
      </c>
      <c r="K15" s="50">
        <f>MONTH(Data!F44)</f>
        <v>1</v>
      </c>
      <c r="L15" s="169">
        <f>MOD(J15+12-K15,12)/6</f>
        <v>0</v>
      </c>
      <c r="M15" s="169">
        <f>L15+4</f>
        <v>4</v>
      </c>
      <c r="N15" s="170">
        <f>MOD(J15+12-K15,12)</f>
        <v>0</v>
      </c>
    </row>
    <row r="16" spans="2:34" ht="16.5" customHeight="1" thickBot="1" x14ac:dyDescent="0.35">
      <c r="B16" s="52" t="s">
        <v>33</v>
      </c>
      <c r="C16" s="53">
        <f>Data!B62/100</f>
        <v>0</v>
      </c>
      <c r="D16" s="53">
        <f>Data!C62/100</f>
        <v>0</v>
      </c>
      <c r="E16" s="53">
        <f>Data!D62/100</f>
        <v>0</v>
      </c>
      <c r="F16" s="54">
        <f>Data!E62/100</f>
        <v>0</v>
      </c>
      <c r="G16" s="54">
        <f>Data!F62/100</f>
        <v>0</v>
      </c>
      <c r="H16" s="55" t="str">
        <f>Q!K20</f>
        <v>분기자료부족</v>
      </c>
      <c r="I16" s="99" t="str">
        <f>IF(H16="분기자료부족",IF(F16&lt;E16,IF(G16&lt;F16,"하락추세",""),""),IF(F16&lt;E16,IF(H16&lt;F16,"하락추세",""),""))</f>
        <v/>
      </c>
      <c r="J16" s="56">
        <f>IF(H16="분기자료부족",IF(I15="상승추세",G16,IF(I16="하락추세",G16,F18)),"")</f>
        <v>0</v>
      </c>
    </row>
    <row r="17" spans="2:9" x14ac:dyDescent="0.3">
      <c r="B17" s="57" t="s">
        <v>115</v>
      </c>
      <c r="C17" s="83">
        <f>Data!G44</f>
        <v>0</v>
      </c>
      <c r="D17" s="84">
        <f>Data!H44</f>
        <v>0</v>
      </c>
      <c r="E17" s="85">
        <f>Data!I44</f>
        <v>0</v>
      </c>
      <c r="F17" s="171" t="s">
        <v>130</v>
      </c>
      <c r="G17" s="172" t="s">
        <v>112</v>
      </c>
      <c r="H17" s="173" t="s">
        <v>131</v>
      </c>
    </row>
    <row r="18" spans="2:9" ht="16.5" customHeight="1" thickBot="1" x14ac:dyDescent="0.35">
      <c r="B18" s="58" t="s">
        <v>33</v>
      </c>
      <c r="C18" s="59">
        <f>Data!G62/100</f>
        <v>0</v>
      </c>
      <c r="D18" s="54">
        <f>Data!H62/100</f>
        <v>0</v>
      </c>
      <c r="E18" s="55">
        <f>Data!I62/100</f>
        <v>0</v>
      </c>
      <c r="F18" s="60">
        <f>IF(H16="분기자료부족",(G16*3+F16*2+E16)/6,IF(N15=0,(G16*3+F16*2+E16)/6,(H16*3+G16*L15+F16)/M15))</f>
        <v>0</v>
      </c>
      <c r="G18" s="54">
        <f>IF(E18="컨센 없음",IF(D18="컨센 없음",IF(C18="컨센 없음",IF(H16="분기자료부족",J16,IF(I15="상승추세",H16,IF(I16="하락추세",H16,F18))),C18),D18),E18)</f>
        <v>0</v>
      </c>
      <c r="H18" s="61">
        <v>0.15</v>
      </c>
    </row>
    <row r="19" spans="2:9" ht="16.5" customHeight="1" thickBot="1" x14ac:dyDescent="0.35">
      <c r="B19" s="36"/>
    </row>
    <row r="20" spans="2:9" ht="16.5" customHeight="1" thickBot="1" x14ac:dyDescent="0.35">
      <c r="B20" s="62" t="s">
        <v>132</v>
      </c>
      <c r="C20" s="47" t="s">
        <v>113</v>
      </c>
      <c r="D20" s="63">
        <v>0.2</v>
      </c>
      <c r="E20" s="28"/>
      <c r="F20" s="28"/>
      <c r="G20" s="29"/>
      <c r="H20" s="124"/>
      <c r="I20" s="121"/>
    </row>
    <row r="21" spans="2:9" x14ac:dyDescent="0.3">
      <c r="B21" s="64" t="s">
        <v>107</v>
      </c>
      <c r="C21" s="65">
        <f>C4</f>
        <v>0</v>
      </c>
      <c r="D21" s="66" t="s">
        <v>133</v>
      </c>
      <c r="E21" s="67" t="s">
        <v>134</v>
      </c>
      <c r="F21" s="68" t="s">
        <v>135</v>
      </c>
      <c r="G21" s="69" t="s">
        <v>3</v>
      </c>
      <c r="H21" s="125"/>
      <c r="I21" s="174"/>
    </row>
    <row r="22" spans="2:9" ht="16.5" customHeight="1" thickBot="1" x14ac:dyDescent="0.35">
      <c r="B22" s="70" t="s">
        <v>81</v>
      </c>
      <c r="C22" s="71" t="e">
        <f ca="1">IF(F25="정배열",F23,F22)</f>
        <v>#DIV/0!</v>
      </c>
      <c r="D22" s="175" t="e">
        <f ca="1">C21/C22-1</f>
        <v>#DIV/0!</v>
      </c>
      <c r="E22" s="72" t="s">
        <v>136</v>
      </c>
      <c r="F22" s="176" t="e">
        <f ca="1">RIM계산!C11</f>
        <v>#DIV/0!</v>
      </c>
      <c r="G22" s="177" t="e">
        <f ca="1">RIM계산!E11</f>
        <v>#DIV/0!</v>
      </c>
      <c r="H22" s="125"/>
      <c r="I22" s="174"/>
    </row>
    <row r="23" spans="2:9" x14ac:dyDescent="0.3">
      <c r="B23" s="73" t="s">
        <v>137</v>
      </c>
      <c r="C23" s="74" t="e">
        <f ca="1">IF(C20="초과이익 가정",IF(F25="정배열",F22,F24),C22*(1+D20))</f>
        <v>#DIV/0!</v>
      </c>
      <c r="E23" s="75" t="s">
        <v>138</v>
      </c>
      <c r="F23" s="178" t="e">
        <f ca="1">RIM계산!C12</f>
        <v>#DIV/0!</v>
      </c>
      <c r="G23" s="179" t="e">
        <f ca="1">RIM계산!E12</f>
        <v>#DIV/0!</v>
      </c>
      <c r="H23" s="125"/>
      <c r="I23" s="174"/>
    </row>
    <row r="24" spans="2:9" x14ac:dyDescent="0.3">
      <c r="B24" s="76" t="s">
        <v>139</v>
      </c>
      <c r="C24" s="77" t="e">
        <f ca="1">IF(C20="초과이익 가정",IF(F25="정배열",F24,F22),C22*(1-D20))</f>
        <v>#DIV/0!</v>
      </c>
      <c r="D24" s="123"/>
      <c r="E24" s="75" t="s">
        <v>140</v>
      </c>
      <c r="F24" s="180" t="e">
        <f ca="1">RIM계산!C13</f>
        <v>#DIV/0!</v>
      </c>
      <c r="G24" s="181" t="e">
        <f ca="1">RIM계산!E13</f>
        <v>#DIV/0!</v>
      </c>
      <c r="H24" s="125"/>
      <c r="I24" s="182"/>
    </row>
    <row r="25" spans="2:9" ht="16.5" customHeight="1" thickBot="1" x14ac:dyDescent="0.35">
      <c r="B25" s="78"/>
      <c r="C25" s="79"/>
      <c r="D25" s="79"/>
      <c r="E25" s="79"/>
      <c r="F25" s="80" t="e">
        <f ca="1">IF(F22&gt;F24,"정배열","역배열")</f>
        <v>#DIV/0!</v>
      </c>
      <c r="G25" s="81" t="e">
        <f ca="1">IF(F25="정배열","ROE&gt;요구수익","ROE&lt;요구수익")</f>
        <v>#DIV/0!</v>
      </c>
      <c r="H25" s="126"/>
      <c r="I25" s="174"/>
    </row>
    <row r="26" spans="2:9" ht="16.5" customHeight="1" thickBot="1" x14ac:dyDescent="0.35"/>
    <row r="27" spans="2:9" ht="16.5" customHeight="1" thickBot="1" x14ac:dyDescent="0.35">
      <c r="B27" s="134" t="s">
        <v>141</v>
      </c>
    </row>
  </sheetData>
  <phoneticPr fontId="2" type="noConversion"/>
  <conditionalFormatting sqref="D8">
    <cfRule type="expression" dxfId="5" priority="12">
      <formula>$C$8="적용"</formula>
    </cfRule>
  </conditionalFormatting>
  <conditionalFormatting sqref="D20">
    <cfRule type="expression" dxfId="4" priority="10">
      <formula>$C$20="할인(할증)률"</formula>
    </cfRule>
  </conditionalFormatting>
  <conditionalFormatting sqref="E14:H14">
    <cfRule type="expression" dxfId="3" priority="1">
      <formula>$I$14="연도오류"</formula>
    </cfRule>
  </conditionalFormatting>
  <conditionalFormatting sqref="F25:G25">
    <cfRule type="expression" dxfId="2" priority="11">
      <formula>$F$25="역배열"</formula>
    </cfRule>
  </conditionalFormatting>
  <conditionalFormatting sqref="G25">
    <cfRule type="expression" dxfId="1" priority="14">
      <formula>#REF!="역배열"</formula>
    </cfRule>
  </conditionalFormatting>
  <conditionalFormatting sqref="H18">
    <cfRule type="expression" dxfId="0" priority="9">
      <formula>$C$14="별도값"</formula>
    </cfRule>
  </conditionalFormatting>
  <dataValidations count="3">
    <dataValidation type="list" allowBlank="1" showInputMessage="1" showErrorMessage="1" sqref="C8" xr:uid="{00000000-0002-0000-0300-000000000000}">
      <formula1>$AD$5:$AD$6</formula1>
    </dataValidation>
    <dataValidation type="list" allowBlank="1" showInputMessage="1" showErrorMessage="1" sqref="C14" xr:uid="{00000000-0002-0000-0300-000001000000}">
      <formula1>$AE$5:$AE$6</formula1>
    </dataValidation>
    <dataValidation type="list" allowBlank="1" showInputMessage="1" showErrorMessage="1" sqref="C20" xr:uid="{00000000-0002-0000-0300-000002000000}">
      <formula1>$AH$5:$AH$6</formula1>
    </dataValidation>
  </dataValidations>
  <hyperlinks>
    <hyperlink ref="C12" r:id="rId1" xr:uid="{00000000-0004-0000-03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64"/>
  <sheetViews>
    <sheetView workbookViewId="0">
      <selection activeCell="I12" sqref="I12"/>
    </sheetView>
  </sheetViews>
  <sheetFormatPr defaultRowHeight="15.75" x14ac:dyDescent="0.3"/>
  <cols>
    <col min="1" max="1" width="18.625" style="3" customWidth="1"/>
    <col min="2" max="19" width="15.625" style="3" customWidth="1"/>
    <col min="20" max="22" width="9" style="3" customWidth="1"/>
    <col min="23" max="16384" width="9" style="3"/>
  </cols>
  <sheetData>
    <row r="2" spans="1:13" x14ac:dyDescent="0.3">
      <c r="A2" s="131" t="s">
        <v>142</v>
      </c>
      <c r="B2" s="100">
        <f>YEAR(Data!F44)</f>
        <v>1900</v>
      </c>
      <c r="D2" s="3" t="s">
        <v>33</v>
      </c>
      <c r="E2" s="95">
        <f>Data!B62/100</f>
        <v>0</v>
      </c>
      <c r="F2" s="95">
        <f>Data!C62/100</f>
        <v>0</v>
      </c>
      <c r="G2" s="95">
        <f>Data!D62/100</f>
        <v>0</v>
      </c>
      <c r="H2" s="95">
        <f>Data!E62/100</f>
        <v>0</v>
      </c>
      <c r="I2" s="95">
        <f>Data!F62/100</f>
        <v>0</v>
      </c>
      <c r="J2" s="95">
        <f>Data!G62/100</f>
        <v>0</v>
      </c>
      <c r="K2" s="95">
        <f>Data!H62/100</f>
        <v>0</v>
      </c>
      <c r="L2" s="95">
        <f>Data!I62/100</f>
        <v>0</v>
      </c>
      <c r="M2" s="95" t="str">
        <f>Q!K20</f>
        <v>분기자료부족</v>
      </c>
    </row>
    <row r="3" spans="1:13" x14ac:dyDescent="0.3">
      <c r="A3" s="131" t="s">
        <v>117</v>
      </c>
      <c r="B3" s="101">
        <f>'S-RIM'!D8</f>
        <v>0.125</v>
      </c>
      <c r="D3" s="3" t="s">
        <v>143</v>
      </c>
      <c r="E3" s="86">
        <f>Data!B54</f>
        <v>0</v>
      </c>
      <c r="F3" s="86">
        <f>Data!C54</f>
        <v>0</v>
      </c>
      <c r="G3" s="86">
        <f>Data!D54</f>
        <v>0</v>
      </c>
      <c r="H3" s="86">
        <f>Data!E54</f>
        <v>0</v>
      </c>
      <c r="I3" s="86">
        <f>Data!F54</f>
        <v>0</v>
      </c>
      <c r="J3" s="86">
        <f>Data!G54</f>
        <v>0</v>
      </c>
      <c r="K3" s="86">
        <f>Data!H54</f>
        <v>0</v>
      </c>
      <c r="L3" s="86">
        <f>Data!I54</f>
        <v>0</v>
      </c>
      <c r="M3" s="86">
        <f>IF(ISERR(Q!O9),IF(Q!K25=0,Q!F9,Q!F27),Q!F19)</f>
        <v>0</v>
      </c>
    </row>
    <row r="4" spans="1:13" x14ac:dyDescent="0.3">
      <c r="A4" s="131" t="s">
        <v>144</v>
      </c>
      <c r="B4" s="183">
        <f>Data!B18</f>
        <v>0</v>
      </c>
      <c r="D4" s="3" t="s">
        <v>128</v>
      </c>
      <c r="E4" s="184">
        <f>Data!B44+30</f>
        <v>30</v>
      </c>
      <c r="F4" s="184">
        <f>Data!C44+30</f>
        <v>30</v>
      </c>
      <c r="G4" s="184">
        <f>Data!D44+30</f>
        <v>30</v>
      </c>
      <c r="H4" s="184">
        <f>Data!E44+30</f>
        <v>30</v>
      </c>
      <c r="I4" s="184">
        <f>Data!F44+30</f>
        <v>30</v>
      </c>
      <c r="J4" s="185">
        <f>I4+365</f>
        <v>395</v>
      </c>
      <c r="K4" s="185">
        <f>J4+365</f>
        <v>760</v>
      </c>
      <c r="L4" s="185">
        <f>K4+365</f>
        <v>1125</v>
      </c>
      <c r="M4" s="184">
        <f>Data!F73</f>
        <v>0</v>
      </c>
    </row>
    <row r="5" spans="1:13" x14ac:dyDescent="0.3">
      <c r="A5" s="131" t="s">
        <v>110</v>
      </c>
      <c r="B5" s="183">
        <f>Data!B22</f>
        <v>0</v>
      </c>
      <c r="D5" s="3" t="s">
        <v>145</v>
      </c>
      <c r="E5" s="86">
        <f>Data!B49</f>
        <v>0</v>
      </c>
      <c r="F5" s="86">
        <f>Data!C49</f>
        <v>0</v>
      </c>
      <c r="G5" s="86">
        <f>Data!D49</f>
        <v>0</v>
      </c>
      <c r="H5" s="86">
        <f>Data!E49</f>
        <v>0</v>
      </c>
      <c r="I5" s="86">
        <f>Data!F49</f>
        <v>0</v>
      </c>
      <c r="J5" s="86">
        <f>Data!G49</f>
        <v>0</v>
      </c>
      <c r="K5" s="86">
        <f>Data!H49</f>
        <v>0</v>
      </c>
      <c r="L5" s="86">
        <f>Data!I49</f>
        <v>0</v>
      </c>
      <c r="M5" s="86">
        <f>IF(ISERR(Q!O9),IF(Q!O25=0,Q!F7,Q!O26),Q!O17)</f>
        <v>0</v>
      </c>
    </row>
    <row r="6" spans="1:13" ht="16.5" customHeight="1" thickBot="1" x14ac:dyDescent="0.35"/>
    <row r="7" spans="1:13" ht="16.5" customHeight="1" thickBot="1" x14ac:dyDescent="0.35">
      <c r="A7" s="102" t="s">
        <v>127</v>
      </c>
      <c r="B7" s="43">
        <f>'S-RIM'!D14</f>
        <v>0</v>
      </c>
      <c r="E7" s="103" t="s">
        <v>146</v>
      </c>
      <c r="F7" s="186">
        <f>HLOOKUP(F8,$E$3:$M$4,2,FALSE)</f>
        <v>30</v>
      </c>
      <c r="G7" s="103" t="s">
        <v>147</v>
      </c>
      <c r="H7" s="104">
        <f ca="1">TODAY()</f>
        <v>46273</v>
      </c>
      <c r="I7" s="103" t="s">
        <v>148</v>
      </c>
      <c r="J7" s="103">
        <f>YEAR(DATE(B2+10,MONTH(F7),DAY(F7)))</f>
        <v>1910</v>
      </c>
    </row>
    <row r="8" spans="1:13" x14ac:dyDescent="0.3">
      <c r="E8" s="103" t="s">
        <v>149</v>
      </c>
      <c r="F8" s="187">
        <f>IF(ISNA(HLOOKUP(B7,$E$2:$M$3,2,FALSE)),M3,HLOOKUP(B7,$E$2:$M$3,2,FALSE))</f>
        <v>0</v>
      </c>
      <c r="G8" s="103" t="s">
        <v>150</v>
      </c>
      <c r="H8" s="188">
        <f ca="1">F7-H7</f>
        <v>-46243</v>
      </c>
    </row>
    <row r="10" spans="1:13" ht="16.5" customHeight="1" x14ac:dyDescent="0.3">
      <c r="A10" s="5" t="s">
        <v>113</v>
      </c>
      <c r="B10" s="144" t="s">
        <v>151</v>
      </c>
      <c r="C10" s="144" t="s">
        <v>81</v>
      </c>
      <c r="D10" s="144" t="s">
        <v>152</v>
      </c>
      <c r="E10" s="144" t="s">
        <v>3</v>
      </c>
    </row>
    <row r="11" spans="1:13" ht="16.5" customHeight="1" x14ac:dyDescent="0.3">
      <c r="A11" s="105" t="s">
        <v>153</v>
      </c>
      <c r="B11" s="189">
        <f ca="1">C25</f>
        <v>0</v>
      </c>
      <c r="C11" s="190" t="e">
        <f ca="1">C26</f>
        <v>#DIV/0!</v>
      </c>
      <c r="D11" s="106" t="s">
        <v>137</v>
      </c>
      <c r="E11" s="114" t="e">
        <f ca="1">B11/$I$5</f>
        <v>#DIV/0!</v>
      </c>
    </row>
    <row r="12" spans="1:13" ht="16.5" customHeight="1" x14ac:dyDescent="0.3">
      <c r="A12" s="107" t="s">
        <v>138</v>
      </c>
      <c r="B12" s="191">
        <f ca="1">C38</f>
        <v>0</v>
      </c>
      <c r="C12" s="192" t="e">
        <f ca="1">C39</f>
        <v>#DIV/0!</v>
      </c>
      <c r="D12" s="108" t="s">
        <v>154</v>
      </c>
      <c r="E12" s="115" t="e">
        <f ca="1">B12/$I$5</f>
        <v>#DIV/0!</v>
      </c>
    </row>
    <row r="13" spans="1:13" ht="16.5" customHeight="1" x14ac:dyDescent="0.3">
      <c r="A13" s="109" t="s">
        <v>140</v>
      </c>
      <c r="B13" s="193">
        <f ca="1">C51</f>
        <v>0</v>
      </c>
      <c r="C13" s="194" t="e">
        <f ca="1">C52</f>
        <v>#DIV/0!</v>
      </c>
      <c r="D13" s="110" t="s">
        <v>139</v>
      </c>
      <c r="E13" s="116" t="e">
        <f ca="1">B13/$I$5</f>
        <v>#DIV/0!</v>
      </c>
    </row>
    <row r="14" spans="1:13" ht="16.5" customHeight="1" x14ac:dyDescent="0.3"/>
    <row r="15" spans="1:13" x14ac:dyDescent="0.3">
      <c r="A15" s="111" t="s">
        <v>155</v>
      </c>
      <c r="B15" s="195">
        <v>1</v>
      </c>
    </row>
    <row r="16" spans="1:13" x14ac:dyDescent="0.3">
      <c r="A16" s="112" t="s">
        <v>156</v>
      </c>
      <c r="B16" s="196">
        <f>$F$7</f>
        <v>30</v>
      </c>
      <c r="C16" s="196">
        <f t="shared" ref="C16:L16" si="0">B16+365</f>
        <v>395</v>
      </c>
      <c r="D16" s="196">
        <f t="shared" si="0"/>
        <v>760</v>
      </c>
      <c r="E16" s="196">
        <f t="shared" si="0"/>
        <v>1125</v>
      </c>
      <c r="F16" s="196">
        <f t="shared" si="0"/>
        <v>1490</v>
      </c>
      <c r="G16" s="196">
        <f t="shared" si="0"/>
        <v>1855</v>
      </c>
      <c r="H16" s="196">
        <f t="shared" si="0"/>
        <v>2220</v>
      </c>
      <c r="I16" s="196">
        <f t="shared" si="0"/>
        <v>2585</v>
      </c>
      <c r="J16" s="196">
        <f t="shared" si="0"/>
        <v>2950</v>
      </c>
      <c r="K16" s="196">
        <f t="shared" si="0"/>
        <v>3315</v>
      </c>
      <c r="L16" s="196">
        <f t="shared" si="0"/>
        <v>3680</v>
      </c>
    </row>
    <row r="17" spans="1:12" x14ac:dyDescent="0.3">
      <c r="A17" s="131" t="s">
        <v>117</v>
      </c>
      <c r="B17" s="113">
        <f>$B$3</f>
        <v>0.125</v>
      </c>
      <c r="C17" s="113">
        <f t="shared" ref="C17:L17" si="1">B17</f>
        <v>0.125</v>
      </c>
      <c r="D17" s="113">
        <f t="shared" si="1"/>
        <v>0.125</v>
      </c>
      <c r="E17" s="113">
        <f t="shared" si="1"/>
        <v>0.125</v>
      </c>
      <c r="F17" s="113">
        <f t="shared" si="1"/>
        <v>0.125</v>
      </c>
      <c r="G17" s="113">
        <f t="shared" si="1"/>
        <v>0.125</v>
      </c>
      <c r="H17" s="113">
        <f t="shared" si="1"/>
        <v>0.125</v>
      </c>
      <c r="I17" s="113">
        <f t="shared" si="1"/>
        <v>0.125</v>
      </c>
      <c r="J17" s="113">
        <f t="shared" si="1"/>
        <v>0.125</v>
      </c>
      <c r="K17" s="113">
        <f t="shared" si="1"/>
        <v>0.125</v>
      </c>
      <c r="L17" s="113">
        <f t="shared" si="1"/>
        <v>0.125</v>
      </c>
    </row>
    <row r="18" spans="1:12" x14ac:dyDescent="0.3">
      <c r="A18" s="131" t="s">
        <v>157</v>
      </c>
      <c r="B18" s="113">
        <f>$B$7-B17</f>
        <v>-0.125</v>
      </c>
      <c r="C18" s="113">
        <f t="shared" ref="C18:L18" si="2">IF(YEAR(C16)&gt;$J$7,0,B18*$B$15)</f>
        <v>-0.125</v>
      </c>
      <c r="D18" s="113">
        <f t="shared" si="2"/>
        <v>-0.125</v>
      </c>
      <c r="E18" s="113">
        <f t="shared" si="2"/>
        <v>-0.125</v>
      </c>
      <c r="F18" s="113">
        <f t="shared" si="2"/>
        <v>-0.125</v>
      </c>
      <c r="G18" s="113">
        <f t="shared" si="2"/>
        <v>-0.125</v>
      </c>
      <c r="H18" s="113">
        <f t="shared" si="2"/>
        <v>-0.125</v>
      </c>
      <c r="I18" s="113">
        <f t="shared" si="2"/>
        <v>-0.125</v>
      </c>
      <c r="J18" s="113">
        <f t="shared" si="2"/>
        <v>-0.125</v>
      </c>
      <c r="K18" s="113">
        <f t="shared" si="2"/>
        <v>-0.125</v>
      </c>
      <c r="L18" s="113">
        <f t="shared" si="2"/>
        <v>-0.125</v>
      </c>
    </row>
    <row r="19" spans="1:12" x14ac:dyDescent="0.3">
      <c r="A19" s="131" t="s">
        <v>33</v>
      </c>
      <c r="B19" s="113">
        <f t="shared" ref="B19:L19" si="3">B17+B18</f>
        <v>0</v>
      </c>
      <c r="C19" s="113">
        <f t="shared" si="3"/>
        <v>0</v>
      </c>
      <c r="D19" s="113">
        <f t="shared" si="3"/>
        <v>0</v>
      </c>
      <c r="E19" s="113">
        <f t="shared" si="3"/>
        <v>0</v>
      </c>
      <c r="F19" s="113">
        <f t="shared" si="3"/>
        <v>0</v>
      </c>
      <c r="G19" s="113">
        <f t="shared" si="3"/>
        <v>0</v>
      </c>
      <c r="H19" s="113">
        <f t="shared" si="3"/>
        <v>0</v>
      </c>
      <c r="I19" s="113">
        <f t="shared" si="3"/>
        <v>0</v>
      </c>
      <c r="J19" s="113">
        <f t="shared" si="3"/>
        <v>0</v>
      </c>
      <c r="K19" s="113">
        <f t="shared" si="3"/>
        <v>0</v>
      </c>
      <c r="L19" s="113">
        <f t="shared" si="3"/>
        <v>0</v>
      </c>
    </row>
    <row r="20" spans="1:12" x14ac:dyDescent="0.3">
      <c r="A20" s="131" t="s">
        <v>145</v>
      </c>
      <c r="B20" s="197"/>
      <c r="C20" s="197">
        <f t="shared" ref="C20:L20" si="4">B21*C19</f>
        <v>0</v>
      </c>
      <c r="D20" s="197">
        <f t="shared" si="4"/>
        <v>0</v>
      </c>
      <c r="E20" s="197">
        <f t="shared" si="4"/>
        <v>0</v>
      </c>
      <c r="F20" s="197">
        <f t="shared" si="4"/>
        <v>0</v>
      </c>
      <c r="G20" s="197">
        <f t="shared" si="4"/>
        <v>0</v>
      </c>
      <c r="H20" s="197">
        <f t="shared" si="4"/>
        <v>0</v>
      </c>
      <c r="I20" s="197">
        <f t="shared" si="4"/>
        <v>0</v>
      </c>
      <c r="J20" s="197">
        <f t="shared" si="4"/>
        <v>0</v>
      </c>
      <c r="K20" s="197">
        <f t="shared" si="4"/>
        <v>0</v>
      </c>
      <c r="L20" s="197">
        <f t="shared" si="4"/>
        <v>0</v>
      </c>
    </row>
    <row r="21" spans="1:12" x14ac:dyDescent="0.3">
      <c r="A21" s="131" t="s">
        <v>143</v>
      </c>
      <c r="B21" s="197">
        <f>$F$8</f>
        <v>0</v>
      </c>
      <c r="C21" s="197">
        <f t="shared" ref="C21:L21" si="5">B21+C20</f>
        <v>0</v>
      </c>
      <c r="D21" s="197">
        <f t="shared" si="5"/>
        <v>0</v>
      </c>
      <c r="E21" s="197">
        <f t="shared" si="5"/>
        <v>0</v>
      </c>
      <c r="F21" s="197">
        <f t="shared" si="5"/>
        <v>0</v>
      </c>
      <c r="G21" s="197">
        <f t="shared" si="5"/>
        <v>0</v>
      </c>
      <c r="H21" s="197">
        <f t="shared" si="5"/>
        <v>0</v>
      </c>
      <c r="I21" s="197">
        <f t="shared" si="5"/>
        <v>0</v>
      </c>
      <c r="J21" s="197">
        <f t="shared" si="5"/>
        <v>0</v>
      </c>
      <c r="K21" s="197">
        <f t="shared" si="5"/>
        <v>0</v>
      </c>
      <c r="L21" s="197">
        <f t="shared" si="5"/>
        <v>0</v>
      </c>
    </row>
    <row r="22" spans="1:12" x14ac:dyDescent="0.3">
      <c r="A22" s="131" t="s">
        <v>158</v>
      </c>
      <c r="B22" s="197"/>
      <c r="C22" s="197">
        <f t="shared" ref="C22:L22" si="6">C20-B21*C17</f>
        <v>0</v>
      </c>
      <c r="D22" s="197">
        <f t="shared" si="6"/>
        <v>0</v>
      </c>
      <c r="E22" s="197">
        <f t="shared" si="6"/>
        <v>0</v>
      </c>
      <c r="F22" s="197">
        <f t="shared" si="6"/>
        <v>0</v>
      </c>
      <c r="G22" s="197">
        <f t="shared" si="6"/>
        <v>0</v>
      </c>
      <c r="H22" s="197">
        <f t="shared" si="6"/>
        <v>0</v>
      </c>
      <c r="I22" s="197">
        <f t="shared" si="6"/>
        <v>0</v>
      </c>
      <c r="J22" s="197">
        <f t="shared" si="6"/>
        <v>0</v>
      </c>
      <c r="K22" s="197">
        <f t="shared" si="6"/>
        <v>0</v>
      </c>
      <c r="L22" s="197">
        <f t="shared" si="6"/>
        <v>0</v>
      </c>
    </row>
    <row r="23" spans="1:12" x14ac:dyDescent="0.3">
      <c r="A23" s="131" t="s">
        <v>159</v>
      </c>
      <c r="B23" s="198">
        <f>NPV($B$3,C22:L22)</f>
        <v>0</v>
      </c>
    </row>
    <row r="24" spans="1:12" ht="16.5" customHeight="1" x14ac:dyDescent="0.3">
      <c r="B24" s="144" t="s">
        <v>160</v>
      </c>
      <c r="C24" s="144" t="s">
        <v>161</v>
      </c>
    </row>
    <row r="25" spans="1:12" x14ac:dyDescent="0.3">
      <c r="A25" s="131" t="s">
        <v>162</v>
      </c>
      <c r="B25" s="199">
        <f>B21+B23</f>
        <v>0</v>
      </c>
      <c r="C25" s="199">
        <f ca="1">B25/(1+$B$3)^($H$8/365)</f>
        <v>0</v>
      </c>
    </row>
    <row r="26" spans="1:12" x14ac:dyDescent="0.3">
      <c r="A26" s="131" t="s">
        <v>132</v>
      </c>
      <c r="B26" s="200" t="e">
        <f>B25*100000000/($B$4-$B$5)</f>
        <v>#DIV/0!</v>
      </c>
      <c r="C26" s="200" t="e">
        <f ca="1">B26/(1+$B$3)^($H$8/365)</f>
        <v>#DIV/0!</v>
      </c>
    </row>
    <row r="28" spans="1:12" x14ac:dyDescent="0.3">
      <c r="A28" s="111" t="s">
        <v>155</v>
      </c>
      <c r="B28" s="195">
        <v>0.9</v>
      </c>
    </row>
    <row r="29" spans="1:12" x14ac:dyDescent="0.3">
      <c r="A29" s="112" t="s">
        <v>156</v>
      </c>
      <c r="B29" s="196">
        <f>$F$7</f>
        <v>30</v>
      </c>
      <c r="C29" s="196">
        <f t="shared" ref="C29:L29" si="7">B29+365</f>
        <v>395</v>
      </c>
      <c r="D29" s="196">
        <f t="shared" si="7"/>
        <v>760</v>
      </c>
      <c r="E29" s="196">
        <f t="shared" si="7"/>
        <v>1125</v>
      </c>
      <c r="F29" s="196">
        <f t="shared" si="7"/>
        <v>1490</v>
      </c>
      <c r="G29" s="196">
        <f t="shared" si="7"/>
        <v>1855</v>
      </c>
      <c r="H29" s="196">
        <f t="shared" si="7"/>
        <v>2220</v>
      </c>
      <c r="I29" s="196">
        <f t="shared" si="7"/>
        <v>2585</v>
      </c>
      <c r="J29" s="196">
        <f t="shared" si="7"/>
        <v>2950</v>
      </c>
      <c r="K29" s="196">
        <f t="shared" si="7"/>
        <v>3315</v>
      </c>
      <c r="L29" s="196">
        <f t="shared" si="7"/>
        <v>3680</v>
      </c>
    </row>
    <row r="30" spans="1:12" x14ac:dyDescent="0.3">
      <c r="A30" s="131" t="s">
        <v>117</v>
      </c>
      <c r="B30" s="113">
        <f>$B$3</f>
        <v>0.125</v>
      </c>
      <c r="C30" s="113">
        <f t="shared" ref="C30:L30" si="8">B30</f>
        <v>0.125</v>
      </c>
      <c r="D30" s="113">
        <f t="shared" si="8"/>
        <v>0.125</v>
      </c>
      <c r="E30" s="113">
        <f t="shared" si="8"/>
        <v>0.125</v>
      </c>
      <c r="F30" s="113">
        <f t="shared" si="8"/>
        <v>0.125</v>
      </c>
      <c r="G30" s="113">
        <f t="shared" si="8"/>
        <v>0.125</v>
      </c>
      <c r="H30" s="113">
        <f t="shared" si="8"/>
        <v>0.125</v>
      </c>
      <c r="I30" s="113">
        <f t="shared" si="8"/>
        <v>0.125</v>
      </c>
      <c r="J30" s="113">
        <f t="shared" si="8"/>
        <v>0.125</v>
      </c>
      <c r="K30" s="113">
        <f t="shared" si="8"/>
        <v>0.125</v>
      </c>
      <c r="L30" s="113">
        <f t="shared" si="8"/>
        <v>0.125</v>
      </c>
    </row>
    <row r="31" spans="1:12" x14ac:dyDescent="0.3">
      <c r="A31" s="131" t="s">
        <v>157</v>
      </c>
      <c r="B31" s="113">
        <f>$B$7-B30</f>
        <v>-0.125</v>
      </c>
      <c r="C31" s="113">
        <f t="shared" ref="C31:L31" si="9">IF(YEAR(C16)&gt;$J$7,0,B31*$B$28)</f>
        <v>-0.1125</v>
      </c>
      <c r="D31" s="113">
        <f t="shared" si="9"/>
        <v>-0.10125000000000001</v>
      </c>
      <c r="E31" s="113">
        <f t="shared" si="9"/>
        <v>-9.1125000000000012E-2</v>
      </c>
      <c r="F31" s="113">
        <f t="shared" si="9"/>
        <v>-8.2012500000000016E-2</v>
      </c>
      <c r="G31" s="113">
        <f t="shared" si="9"/>
        <v>-7.3811250000000023E-2</v>
      </c>
      <c r="H31" s="113">
        <f t="shared" si="9"/>
        <v>-6.643012500000002E-2</v>
      </c>
      <c r="I31" s="113">
        <f t="shared" si="9"/>
        <v>-5.9787112500000017E-2</v>
      </c>
      <c r="J31" s="113">
        <f t="shared" si="9"/>
        <v>-5.3808401250000019E-2</v>
      </c>
      <c r="K31" s="113">
        <f t="shared" si="9"/>
        <v>-4.8427561125000018E-2</v>
      </c>
      <c r="L31" s="113">
        <f t="shared" si="9"/>
        <v>-4.3584805012500019E-2</v>
      </c>
    </row>
    <row r="32" spans="1:12" x14ac:dyDescent="0.3">
      <c r="A32" s="131" t="s">
        <v>33</v>
      </c>
      <c r="B32" s="113">
        <f t="shared" ref="B32:L32" si="10">B30+B31</f>
        <v>0</v>
      </c>
      <c r="C32" s="113">
        <f t="shared" si="10"/>
        <v>1.2499999999999997E-2</v>
      </c>
      <c r="D32" s="113">
        <f t="shared" si="10"/>
        <v>2.3749999999999993E-2</v>
      </c>
      <c r="E32" s="113">
        <f t="shared" si="10"/>
        <v>3.3874999999999988E-2</v>
      </c>
      <c r="F32" s="113">
        <f t="shared" si="10"/>
        <v>4.2987499999999984E-2</v>
      </c>
      <c r="G32" s="113">
        <f t="shared" si="10"/>
        <v>5.1188749999999977E-2</v>
      </c>
      <c r="H32" s="113">
        <f t="shared" si="10"/>
        <v>5.856987499999998E-2</v>
      </c>
      <c r="I32" s="113">
        <f t="shared" si="10"/>
        <v>6.5212887499999983E-2</v>
      </c>
      <c r="J32" s="113">
        <f t="shared" si="10"/>
        <v>7.1191598749999974E-2</v>
      </c>
      <c r="K32" s="113">
        <f t="shared" si="10"/>
        <v>7.6572438874999982E-2</v>
      </c>
      <c r="L32" s="113">
        <f t="shared" si="10"/>
        <v>8.1415194987499981E-2</v>
      </c>
    </row>
    <row r="33" spans="1:12" x14ac:dyDescent="0.3">
      <c r="A33" s="131" t="s">
        <v>145</v>
      </c>
      <c r="B33" s="197"/>
      <c r="C33" s="197">
        <f t="shared" ref="C33:L33" si="11">B34*C32</f>
        <v>0</v>
      </c>
      <c r="D33" s="197">
        <f t="shared" si="11"/>
        <v>0</v>
      </c>
      <c r="E33" s="197">
        <f t="shared" si="11"/>
        <v>0</v>
      </c>
      <c r="F33" s="197">
        <f t="shared" si="11"/>
        <v>0</v>
      </c>
      <c r="G33" s="197">
        <f t="shared" si="11"/>
        <v>0</v>
      </c>
      <c r="H33" s="197">
        <f t="shared" si="11"/>
        <v>0</v>
      </c>
      <c r="I33" s="197">
        <f t="shared" si="11"/>
        <v>0</v>
      </c>
      <c r="J33" s="197">
        <f t="shared" si="11"/>
        <v>0</v>
      </c>
      <c r="K33" s="197">
        <f t="shared" si="11"/>
        <v>0</v>
      </c>
      <c r="L33" s="197">
        <f t="shared" si="11"/>
        <v>0</v>
      </c>
    </row>
    <row r="34" spans="1:12" x14ac:dyDescent="0.3">
      <c r="A34" s="131" t="s">
        <v>143</v>
      </c>
      <c r="B34" s="197">
        <f>$F$8</f>
        <v>0</v>
      </c>
      <c r="C34" s="197">
        <f t="shared" ref="C34:L34" si="12">B34+C33</f>
        <v>0</v>
      </c>
      <c r="D34" s="197">
        <f t="shared" si="12"/>
        <v>0</v>
      </c>
      <c r="E34" s="197">
        <f t="shared" si="12"/>
        <v>0</v>
      </c>
      <c r="F34" s="197">
        <f t="shared" si="12"/>
        <v>0</v>
      </c>
      <c r="G34" s="197">
        <f t="shared" si="12"/>
        <v>0</v>
      </c>
      <c r="H34" s="197">
        <f t="shared" si="12"/>
        <v>0</v>
      </c>
      <c r="I34" s="197">
        <f t="shared" si="12"/>
        <v>0</v>
      </c>
      <c r="J34" s="197">
        <f t="shared" si="12"/>
        <v>0</v>
      </c>
      <c r="K34" s="197">
        <f t="shared" si="12"/>
        <v>0</v>
      </c>
      <c r="L34" s="197">
        <f t="shared" si="12"/>
        <v>0</v>
      </c>
    </row>
    <row r="35" spans="1:12" x14ac:dyDescent="0.3">
      <c r="A35" s="131" t="s">
        <v>158</v>
      </c>
      <c r="B35" s="197"/>
      <c r="C35" s="197">
        <f t="shared" ref="C35:L35" si="13">C33-B34*C30</f>
        <v>0</v>
      </c>
      <c r="D35" s="197">
        <f t="shared" si="13"/>
        <v>0</v>
      </c>
      <c r="E35" s="197">
        <f t="shared" si="13"/>
        <v>0</v>
      </c>
      <c r="F35" s="197">
        <f t="shared" si="13"/>
        <v>0</v>
      </c>
      <c r="G35" s="197">
        <f t="shared" si="13"/>
        <v>0</v>
      </c>
      <c r="H35" s="197">
        <f t="shared" si="13"/>
        <v>0</v>
      </c>
      <c r="I35" s="197">
        <f t="shared" si="13"/>
        <v>0</v>
      </c>
      <c r="J35" s="197">
        <f t="shared" si="13"/>
        <v>0</v>
      </c>
      <c r="K35" s="197">
        <f t="shared" si="13"/>
        <v>0</v>
      </c>
      <c r="L35" s="197">
        <f t="shared" si="13"/>
        <v>0</v>
      </c>
    </row>
    <row r="36" spans="1:12" x14ac:dyDescent="0.3">
      <c r="A36" s="131" t="s">
        <v>159</v>
      </c>
      <c r="B36" s="198">
        <f>NPV($B$3,C35:L35)</f>
        <v>0</v>
      </c>
    </row>
    <row r="37" spans="1:12" ht="16.5" customHeight="1" x14ac:dyDescent="0.3">
      <c r="B37" s="144" t="s">
        <v>160</v>
      </c>
      <c r="C37" s="144" t="s">
        <v>161</v>
      </c>
    </row>
    <row r="38" spans="1:12" x14ac:dyDescent="0.3">
      <c r="A38" s="131" t="s">
        <v>162</v>
      </c>
      <c r="B38" s="199">
        <f>B34+B36</f>
        <v>0</v>
      </c>
      <c r="C38" s="199">
        <f ca="1">B38/(1+$B$3)^($H$8/365)</f>
        <v>0</v>
      </c>
    </row>
    <row r="39" spans="1:12" x14ac:dyDescent="0.3">
      <c r="A39" s="131" t="s">
        <v>132</v>
      </c>
      <c r="B39" s="200" t="e">
        <f>B38*100000000/($B$4-$B$5)</f>
        <v>#DIV/0!</v>
      </c>
      <c r="C39" s="200" t="e">
        <f ca="1">B39/(1+$B$3)^($H$8/365)</f>
        <v>#DIV/0!</v>
      </c>
    </row>
    <row r="41" spans="1:12" x14ac:dyDescent="0.3">
      <c r="A41" s="111" t="s">
        <v>155</v>
      </c>
      <c r="B41" s="195">
        <v>0.8</v>
      </c>
    </row>
    <row r="42" spans="1:12" x14ac:dyDescent="0.3">
      <c r="A42" s="112" t="s">
        <v>156</v>
      </c>
      <c r="B42" s="196">
        <f>$F$7</f>
        <v>30</v>
      </c>
      <c r="C42" s="196">
        <f t="shared" ref="C42:L42" si="14">B42+365</f>
        <v>395</v>
      </c>
      <c r="D42" s="196">
        <f t="shared" si="14"/>
        <v>760</v>
      </c>
      <c r="E42" s="196">
        <f t="shared" si="14"/>
        <v>1125</v>
      </c>
      <c r="F42" s="196">
        <f t="shared" si="14"/>
        <v>1490</v>
      </c>
      <c r="G42" s="196">
        <f t="shared" si="14"/>
        <v>1855</v>
      </c>
      <c r="H42" s="196">
        <f t="shared" si="14"/>
        <v>2220</v>
      </c>
      <c r="I42" s="196">
        <f t="shared" si="14"/>
        <v>2585</v>
      </c>
      <c r="J42" s="196">
        <f t="shared" si="14"/>
        <v>2950</v>
      </c>
      <c r="K42" s="196">
        <f t="shared" si="14"/>
        <v>3315</v>
      </c>
      <c r="L42" s="196">
        <f t="shared" si="14"/>
        <v>3680</v>
      </c>
    </row>
    <row r="43" spans="1:12" x14ac:dyDescent="0.3">
      <c r="A43" s="131" t="s">
        <v>117</v>
      </c>
      <c r="B43" s="113">
        <f>$B$3</f>
        <v>0.125</v>
      </c>
      <c r="C43" s="113">
        <f t="shared" ref="C43:L43" si="15">B43</f>
        <v>0.125</v>
      </c>
      <c r="D43" s="113">
        <f t="shared" si="15"/>
        <v>0.125</v>
      </c>
      <c r="E43" s="113">
        <f t="shared" si="15"/>
        <v>0.125</v>
      </c>
      <c r="F43" s="113">
        <f t="shared" si="15"/>
        <v>0.125</v>
      </c>
      <c r="G43" s="113">
        <f t="shared" si="15"/>
        <v>0.125</v>
      </c>
      <c r="H43" s="113">
        <f t="shared" si="15"/>
        <v>0.125</v>
      </c>
      <c r="I43" s="113">
        <f t="shared" si="15"/>
        <v>0.125</v>
      </c>
      <c r="J43" s="113">
        <f t="shared" si="15"/>
        <v>0.125</v>
      </c>
      <c r="K43" s="113">
        <f t="shared" si="15"/>
        <v>0.125</v>
      </c>
      <c r="L43" s="113">
        <f t="shared" si="15"/>
        <v>0.125</v>
      </c>
    </row>
    <row r="44" spans="1:12" x14ac:dyDescent="0.3">
      <c r="A44" s="131" t="s">
        <v>157</v>
      </c>
      <c r="B44" s="113">
        <f>$B$7-B43</f>
        <v>-0.125</v>
      </c>
      <c r="C44" s="113">
        <f t="shared" ref="C44:L44" si="16">IF(YEAR(C16)&gt;$J$7,0,B44*$B$41)</f>
        <v>-0.1</v>
      </c>
      <c r="D44" s="113">
        <f t="shared" si="16"/>
        <v>-8.0000000000000016E-2</v>
      </c>
      <c r="E44" s="113">
        <f t="shared" si="16"/>
        <v>-6.4000000000000015E-2</v>
      </c>
      <c r="F44" s="113">
        <f t="shared" si="16"/>
        <v>-5.1200000000000016E-2</v>
      </c>
      <c r="G44" s="113">
        <f t="shared" si="16"/>
        <v>-4.0960000000000017E-2</v>
      </c>
      <c r="H44" s="113">
        <f t="shared" si="16"/>
        <v>-3.2768000000000012E-2</v>
      </c>
      <c r="I44" s="113">
        <f t="shared" si="16"/>
        <v>-2.6214400000000013E-2</v>
      </c>
      <c r="J44" s="113">
        <f t="shared" si="16"/>
        <v>-2.0971520000000011E-2</v>
      </c>
      <c r="K44" s="113">
        <f t="shared" si="16"/>
        <v>-1.6777216000000008E-2</v>
      </c>
      <c r="L44" s="113">
        <f t="shared" si="16"/>
        <v>-1.3421772800000007E-2</v>
      </c>
    </row>
    <row r="45" spans="1:12" x14ac:dyDescent="0.3">
      <c r="A45" s="131" t="s">
        <v>33</v>
      </c>
      <c r="B45" s="113">
        <f t="shared" ref="B45:L45" si="17">B43+B44</f>
        <v>0</v>
      </c>
      <c r="C45" s="113">
        <f t="shared" si="17"/>
        <v>2.4999999999999994E-2</v>
      </c>
      <c r="D45" s="113">
        <f t="shared" si="17"/>
        <v>4.4999999999999984E-2</v>
      </c>
      <c r="E45" s="113">
        <f t="shared" si="17"/>
        <v>6.0999999999999985E-2</v>
      </c>
      <c r="F45" s="113">
        <f t="shared" si="17"/>
        <v>7.3799999999999977E-2</v>
      </c>
      <c r="G45" s="113">
        <f t="shared" si="17"/>
        <v>8.4039999999999976E-2</v>
      </c>
      <c r="H45" s="113">
        <f t="shared" si="17"/>
        <v>9.2231999999999981E-2</v>
      </c>
      <c r="I45" s="113">
        <f t="shared" si="17"/>
        <v>9.8785599999999987E-2</v>
      </c>
      <c r="J45" s="113">
        <f t="shared" si="17"/>
        <v>0.10402847999999999</v>
      </c>
      <c r="K45" s="113">
        <f t="shared" si="17"/>
        <v>0.10822278399999999</v>
      </c>
      <c r="L45" s="113">
        <f t="shared" si="17"/>
        <v>0.11157822719999999</v>
      </c>
    </row>
    <row r="46" spans="1:12" x14ac:dyDescent="0.3">
      <c r="A46" s="131" t="s">
        <v>145</v>
      </c>
      <c r="B46" s="197"/>
      <c r="C46" s="197">
        <f t="shared" ref="C46:L46" si="18">B47*C45</f>
        <v>0</v>
      </c>
      <c r="D46" s="197">
        <f t="shared" si="18"/>
        <v>0</v>
      </c>
      <c r="E46" s="197">
        <f t="shared" si="18"/>
        <v>0</v>
      </c>
      <c r="F46" s="197">
        <f t="shared" si="18"/>
        <v>0</v>
      </c>
      <c r="G46" s="197">
        <f t="shared" si="18"/>
        <v>0</v>
      </c>
      <c r="H46" s="197">
        <f t="shared" si="18"/>
        <v>0</v>
      </c>
      <c r="I46" s="197">
        <f t="shared" si="18"/>
        <v>0</v>
      </c>
      <c r="J46" s="197">
        <f t="shared" si="18"/>
        <v>0</v>
      </c>
      <c r="K46" s="197">
        <f t="shared" si="18"/>
        <v>0</v>
      </c>
      <c r="L46" s="197">
        <f t="shared" si="18"/>
        <v>0</v>
      </c>
    </row>
    <row r="47" spans="1:12" x14ac:dyDescent="0.3">
      <c r="A47" s="131" t="s">
        <v>143</v>
      </c>
      <c r="B47" s="197">
        <f>$F$8</f>
        <v>0</v>
      </c>
      <c r="C47" s="197">
        <f t="shared" ref="C47:L47" si="19">B47+C46</f>
        <v>0</v>
      </c>
      <c r="D47" s="197">
        <f t="shared" si="19"/>
        <v>0</v>
      </c>
      <c r="E47" s="197">
        <f t="shared" si="19"/>
        <v>0</v>
      </c>
      <c r="F47" s="197">
        <f t="shared" si="19"/>
        <v>0</v>
      </c>
      <c r="G47" s="197">
        <f t="shared" si="19"/>
        <v>0</v>
      </c>
      <c r="H47" s="197">
        <f t="shared" si="19"/>
        <v>0</v>
      </c>
      <c r="I47" s="197">
        <f t="shared" si="19"/>
        <v>0</v>
      </c>
      <c r="J47" s="197">
        <f t="shared" si="19"/>
        <v>0</v>
      </c>
      <c r="K47" s="197">
        <f t="shared" si="19"/>
        <v>0</v>
      </c>
      <c r="L47" s="197">
        <f t="shared" si="19"/>
        <v>0</v>
      </c>
    </row>
    <row r="48" spans="1:12" x14ac:dyDescent="0.3">
      <c r="A48" s="131" t="s">
        <v>158</v>
      </c>
      <c r="B48" s="197"/>
      <c r="C48" s="197">
        <f t="shared" ref="C48:L48" si="20">C46-B47*C43</f>
        <v>0</v>
      </c>
      <c r="D48" s="197">
        <f t="shared" si="20"/>
        <v>0</v>
      </c>
      <c r="E48" s="197">
        <f t="shared" si="20"/>
        <v>0</v>
      </c>
      <c r="F48" s="197">
        <f t="shared" si="20"/>
        <v>0</v>
      </c>
      <c r="G48" s="197">
        <f t="shared" si="20"/>
        <v>0</v>
      </c>
      <c r="H48" s="197">
        <f t="shared" si="20"/>
        <v>0</v>
      </c>
      <c r="I48" s="197">
        <f t="shared" si="20"/>
        <v>0</v>
      </c>
      <c r="J48" s="197">
        <f t="shared" si="20"/>
        <v>0</v>
      </c>
      <c r="K48" s="197">
        <f t="shared" si="20"/>
        <v>0</v>
      </c>
      <c r="L48" s="197">
        <f t="shared" si="20"/>
        <v>0</v>
      </c>
    </row>
    <row r="49" spans="1:19" x14ac:dyDescent="0.3">
      <c r="A49" s="131" t="s">
        <v>159</v>
      </c>
      <c r="B49" s="198">
        <f>NPV($B$3,C48:L48)</f>
        <v>0</v>
      </c>
    </row>
    <row r="50" spans="1:19" ht="16.5" customHeight="1" x14ac:dyDescent="0.3">
      <c r="B50" s="144" t="s">
        <v>160</v>
      </c>
      <c r="C50" s="144" t="s">
        <v>161</v>
      </c>
    </row>
    <row r="51" spans="1:19" x14ac:dyDescent="0.3">
      <c r="A51" s="131" t="s">
        <v>162</v>
      </c>
      <c r="B51" s="199">
        <f>B47+B49</f>
        <v>0</v>
      </c>
      <c r="C51" s="199">
        <f ca="1">B51/(1+$B$3)^($H$8/365)</f>
        <v>0</v>
      </c>
    </row>
    <row r="52" spans="1:19" x14ac:dyDescent="0.3">
      <c r="A52" s="131" t="s">
        <v>132</v>
      </c>
      <c r="B52" s="200" t="e">
        <f>B51*100000000/($B$4-$B$5)</f>
        <v>#DIV/0!</v>
      </c>
      <c r="C52" s="200" t="e">
        <f ca="1">B52/(1+$B$3)^($H$8/365)</f>
        <v>#DIV/0!</v>
      </c>
    </row>
    <row r="54" spans="1:19" x14ac:dyDescent="0.3">
      <c r="B54" s="3">
        <v>1</v>
      </c>
      <c r="C54" s="3">
        <v>2</v>
      </c>
      <c r="D54" s="3">
        <v>3</v>
      </c>
      <c r="E54" s="3">
        <v>4</v>
      </c>
      <c r="F54" s="3">
        <v>5</v>
      </c>
      <c r="G54" s="3" t="str">
        <f>IF($F$7&gt;G55-1,F54+1,"")</f>
        <v/>
      </c>
      <c r="H54" s="3" t="str">
        <f>IF($F$7&gt;H55-1,G54+1,"")</f>
        <v/>
      </c>
      <c r="I54" s="3" t="str">
        <f>IF($F$7&gt;I55-1,H54+1,"")</f>
        <v/>
      </c>
      <c r="J54" s="3">
        <f>MAX(B54:I54)+1</f>
        <v>6</v>
      </c>
      <c r="K54" s="3">
        <f t="shared" ref="K54:S54" si="21">J54+1</f>
        <v>7</v>
      </c>
      <c r="L54" s="3">
        <f t="shared" si="21"/>
        <v>8</v>
      </c>
      <c r="M54" s="3">
        <f t="shared" si="21"/>
        <v>9</v>
      </c>
      <c r="N54" s="3">
        <f t="shared" si="21"/>
        <v>10</v>
      </c>
      <c r="O54" s="3">
        <f t="shared" si="21"/>
        <v>11</v>
      </c>
      <c r="P54" s="3">
        <f t="shared" si="21"/>
        <v>12</v>
      </c>
      <c r="Q54" s="3">
        <f t="shared" si="21"/>
        <v>13</v>
      </c>
      <c r="R54" s="3">
        <f t="shared" si="21"/>
        <v>14</v>
      </c>
      <c r="S54" s="3">
        <f t="shared" si="21"/>
        <v>15</v>
      </c>
    </row>
    <row r="55" spans="1:19" x14ac:dyDescent="0.3">
      <c r="B55" s="201">
        <f t="shared" ref="B55:I56" si="22">E4</f>
        <v>30</v>
      </c>
      <c r="C55" s="201">
        <f t="shared" si="22"/>
        <v>30</v>
      </c>
      <c r="D55" s="201">
        <f t="shared" si="22"/>
        <v>30</v>
      </c>
      <c r="E55" s="201">
        <f t="shared" si="22"/>
        <v>30</v>
      </c>
      <c r="F55" s="201">
        <f t="shared" si="22"/>
        <v>30</v>
      </c>
      <c r="G55" s="201">
        <f t="shared" si="22"/>
        <v>395</v>
      </c>
      <c r="H55" s="201">
        <f t="shared" si="22"/>
        <v>760</v>
      </c>
      <c r="I55" s="201">
        <f t="shared" si="22"/>
        <v>1125</v>
      </c>
      <c r="J55" s="202">
        <f t="shared" ref="J55:S55" si="23">C16</f>
        <v>395</v>
      </c>
      <c r="K55" s="202">
        <f t="shared" si="23"/>
        <v>760</v>
      </c>
      <c r="L55" s="202">
        <f t="shared" si="23"/>
        <v>1125</v>
      </c>
      <c r="M55" s="202">
        <f t="shared" si="23"/>
        <v>1490</v>
      </c>
      <c r="N55" s="202">
        <f t="shared" si="23"/>
        <v>1855</v>
      </c>
      <c r="O55" s="202">
        <f t="shared" si="23"/>
        <v>2220</v>
      </c>
      <c r="P55" s="202">
        <f t="shared" si="23"/>
        <v>2585</v>
      </c>
      <c r="Q55" s="202">
        <f t="shared" si="23"/>
        <v>2950</v>
      </c>
      <c r="R55" s="202">
        <f t="shared" si="23"/>
        <v>3315</v>
      </c>
      <c r="S55" s="202">
        <f t="shared" si="23"/>
        <v>3680</v>
      </c>
    </row>
    <row r="56" spans="1:19" x14ac:dyDescent="0.3">
      <c r="A56" s="3" t="s">
        <v>136</v>
      </c>
      <c r="B56" s="86">
        <f t="shared" si="22"/>
        <v>0</v>
      </c>
      <c r="C56" s="86">
        <f t="shared" si="22"/>
        <v>0</v>
      </c>
      <c r="D56" s="86">
        <f t="shared" si="22"/>
        <v>0</v>
      </c>
      <c r="E56" s="86">
        <f t="shared" si="22"/>
        <v>0</v>
      </c>
      <c r="F56" s="86">
        <f t="shared" si="22"/>
        <v>0</v>
      </c>
      <c r="G56" s="86">
        <f t="shared" si="22"/>
        <v>0</v>
      </c>
      <c r="H56" s="86">
        <f t="shared" si="22"/>
        <v>0</v>
      </c>
      <c r="I56" s="86">
        <f t="shared" si="22"/>
        <v>0</v>
      </c>
      <c r="J56" s="203">
        <f t="shared" ref="J56:S56" si="24">C20</f>
        <v>0</v>
      </c>
      <c r="K56" s="203">
        <f t="shared" si="24"/>
        <v>0</v>
      </c>
      <c r="L56" s="203">
        <f t="shared" si="24"/>
        <v>0</v>
      </c>
      <c r="M56" s="203">
        <f t="shared" si="24"/>
        <v>0</v>
      </c>
      <c r="N56" s="203">
        <f t="shared" si="24"/>
        <v>0</v>
      </c>
      <c r="O56" s="203">
        <f t="shared" si="24"/>
        <v>0</v>
      </c>
      <c r="P56" s="203">
        <f t="shared" si="24"/>
        <v>0</v>
      </c>
      <c r="Q56" s="203">
        <f t="shared" si="24"/>
        <v>0</v>
      </c>
      <c r="R56" s="203">
        <f t="shared" si="24"/>
        <v>0</v>
      </c>
      <c r="S56" s="203">
        <f t="shared" si="24"/>
        <v>0</v>
      </c>
    </row>
    <row r="57" spans="1:19" x14ac:dyDescent="0.3">
      <c r="A57" s="3" t="s">
        <v>163</v>
      </c>
      <c r="B57" s="86">
        <f t="shared" ref="B57:I57" si="25">E5</f>
        <v>0</v>
      </c>
      <c r="C57" s="86">
        <f t="shared" si="25"/>
        <v>0</v>
      </c>
      <c r="D57" s="86">
        <f t="shared" si="25"/>
        <v>0</v>
      </c>
      <c r="E57" s="86">
        <f t="shared" si="25"/>
        <v>0</v>
      </c>
      <c r="F57" s="86">
        <f t="shared" si="25"/>
        <v>0</v>
      </c>
      <c r="G57" s="86">
        <f t="shared" si="25"/>
        <v>0</v>
      </c>
      <c r="H57" s="86">
        <f t="shared" si="25"/>
        <v>0</v>
      </c>
      <c r="I57" s="86">
        <f t="shared" si="25"/>
        <v>0</v>
      </c>
      <c r="J57" s="203">
        <f t="shared" ref="J57:S57" si="26">C33</f>
        <v>0</v>
      </c>
      <c r="K57" s="203">
        <f t="shared" si="26"/>
        <v>0</v>
      </c>
      <c r="L57" s="203">
        <f t="shared" si="26"/>
        <v>0</v>
      </c>
      <c r="M57" s="203">
        <f t="shared" si="26"/>
        <v>0</v>
      </c>
      <c r="N57" s="203">
        <f t="shared" si="26"/>
        <v>0</v>
      </c>
      <c r="O57" s="203">
        <f t="shared" si="26"/>
        <v>0</v>
      </c>
      <c r="P57" s="203">
        <f t="shared" si="26"/>
        <v>0</v>
      </c>
      <c r="Q57" s="203">
        <f t="shared" si="26"/>
        <v>0</v>
      </c>
      <c r="R57" s="203">
        <f t="shared" si="26"/>
        <v>0</v>
      </c>
      <c r="S57" s="203">
        <f t="shared" si="26"/>
        <v>0</v>
      </c>
    </row>
    <row r="58" spans="1:19" x14ac:dyDescent="0.3">
      <c r="A58" s="3" t="s">
        <v>164</v>
      </c>
      <c r="B58" s="86">
        <f t="shared" ref="B58:I58" si="27">E5</f>
        <v>0</v>
      </c>
      <c r="C58" s="86">
        <f t="shared" si="27"/>
        <v>0</v>
      </c>
      <c r="D58" s="86">
        <f t="shared" si="27"/>
        <v>0</v>
      </c>
      <c r="E58" s="86">
        <f t="shared" si="27"/>
        <v>0</v>
      </c>
      <c r="F58" s="86">
        <f t="shared" si="27"/>
        <v>0</v>
      </c>
      <c r="G58" s="86">
        <f t="shared" si="27"/>
        <v>0</v>
      </c>
      <c r="H58" s="86">
        <f t="shared" si="27"/>
        <v>0</v>
      </c>
      <c r="I58" s="86">
        <f t="shared" si="27"/>
        <v>0</v>
      </c>
      <c r="J58" s="203">
        <f t="shared" ref="J58:S58" si="28">C46</f>
        <v>0</v>
      </c>
      <c r="K58" s="203">
        <f t="shared" si="28"/>
        <v>0</v>
      </c>
      <c r="L58" s="203">
        <f t="shared" si="28"/>
        <v>0</v>
      </c>
      <c r="M58" s="203">
        <f t="shared" si="28"/>
        <v>0</v>
      </c>
      <c r="N58" s="203">
        <f t="shared" si="28"/>
        <v>0</v>
      </c>
      <c r="O58" s="203">
        <f t="shared" si="28"/>
        <v>0</v>
      </c>
      <c r="P58" s="203">
        <f t="shared" si="28"/>
        <v>0</v>
      </c>
      <c r="Q58" s="203">
        <f t="shared" si="28"/>
        <v>0</v>
      </c>
      <c r="R58" s="203">
        <f t="shared" si="28"/>
        <v>0</v>
      </c>
      <c r="S58" s="203">
        <f t="shared" si="28"/>
        <v>0</v>
      </c>
    </row>
    <row r="60" spans="1:19" x14ac:dyDescent="0.3">
      <c r="B60" s="3">
        <v>1</v>
      </c>
      <c r="C60" s="3">
        <v>2</v>
      </c>
      <c r="D60" s="3">
        <v>3</v>
      </c>
      <c r="E60" s="3">
        <v>4</v>
      </c>
      <c r="F60" s="3">
        <v>5</v>
      </c>
      <c r="G60" s="3">
        <v>6</v>
      </c>
      <c r="H60" s="3">
        <v>7</v>
      </c>
      <c r="I60" s="3">
        <v>8</v>
      </c>
      <c r="J60" s="3">
        <v>9</v>
      </c>
      <c r="K60" s="3">
        <v>10</v>
      </c>
      <c r="L60" s="3">
        <v>11</v>
      </c>
      <c r="M60" s="3">
        <v>12</v>
      </c>
      <c r="N60" s="3">
        <v>13</v>
      </c>
      <c r="O60" s="3">
        <v>14</v>
      </c>
      <c r="P60" s="3">
        <v>15</v>
      </c>
    </row>
    <row r="61" spans="1:19" x14ac:dyDescent="0.3">
      <c r="B61" s="201">
        <f t="shared" ref="B61:P61" si="29">HLOOKUP(B$60,$B$54:$S$58,2,FALSE)</f>
        <v>30</v>
      </c>
      <c r="C61" s="201">
        <f t="shared" si="29"/>
        <v>30</v>
      </c>
      <c r="D61" s="201">
        <f t="shared" si="29"/>
        <v>30</v>
      </c>
      <c r="E61" s="201">
        <f t="shared" si="29"/>
        <v>30</v>
      </c>
      <c r="F61" s="201">
        <f t="shared" si="29"/>
        <v>30</v>
      </c>
      <c r="G61" s="201">
        <f t="shared" si="29"/>
        <v>395</v>
      </c>
      <c r="H61" s="201">
        <f t="shared" si="29"/>
        <v>760</v>
      </c>
      <c r="I61" s="201">
        <f t="shared" si="29"/>
        <v>1125</v>
      </c>
      <c r="J61" s="201">
        <f t="shared" si="29"/>
        <v>1490</v>
      </c>
      <c r="K61" s="201">
        <f t="shared" si="29"/>
        <v>1855</v>
      </c>
      <c r="L61" s="201">
        <f t="shared" si="29"/>
        <v>2220</v>
      </c>
      <c r="M61" s="201">
        <f t="shared" si="29"/>
        <v>2585</v>
      </c>
      <c r="N61" s="201">
        <f t="shared" si="29"/>
        <v>2950</v>
      </c>
      <c r="O61" s="201">
        <f t="shared" si="29"/>
        <v>3315</v>
      </c>
      <c r="P61" s="201">
        <f t="shared" si="29"/>
        <v>3680</v>
      </c>
    </row>
    <row r="62" spans="1:19" x14ac:dyDescent="0.3">
      <c r="A62" s="3" t="s">
        <v>136</v>
      </c>
      <c r="B62" s="86">
        <f t="shared" ref="B62:P62" si="30">HLOOKUP(B$60,$B$54:$S$58,3,FALSE)</f>
        <v>0</v>
      </c>
      <c r="C62" s="86">
        <f t="shared" si="30"/>
        <v>0</v>
      </c>
      <c r="D62" s="86">
        <f t="shared" si="30"/>
        <v>0</v>
      </c>
      <c r="E62" s="86">
        <f t="shared" si="30"/>
        <v>0</v>
      </c>
      <c r="F62" s="86">
        <f t="shared" si="30"/>
        <v>0</v>
      </c>
      <c r="G62" s="86">
        <f t="shared" si="30"/>
        <v>0</v>
      </c>
      <c r="H62" s="86">
        <f t="shared" si="30"/>
        <v>0</v>
      </c>
      <c r="I62" s="86">
        <f t="shared" si="30"/>
        <v>0</v>
      </c>
      <c r="J62" s="86">
        <f t="shared" si="30"/>
        <v>0</v>
      </c>
      <c r="K62" s="86">
        <f t="shared" si="30"/>
        <v>0</v>
      </c>
      <c r="L62" s="86">
        <f t="shared" si="30"/>
        <v>0</v>
      </c>
      <c r="M62" s="86">
        <f t="shared" si="30"/>
        <v>0</v>
      </c>
      <c r="N62" s="86">
        <f t="shared" si="30"/>
        <v>0</v>
      </c>
      <c r="O62" s="86">
        <f t="shared" si="30"/>
        <v>0</v>
      </c>
      <c r="P62" s="86">
        <f t="shared" si="30"/>
        <v>0</v>
      </c>
    </row>
    <row r="63" spans="1:19" x14ac:dyDescent="0.3">
      <c r="A63" s="3" t="s">
        <v>163</v>
      </c>
      <c r="B63" s="86">
        <f t="shared" ref="B63:P63" si="31">HLOOKUP(B$60,$B$54:$S$58,4,FALSE)</f>
        <v>0</v>
      </c>
      <c r="C63" s="86">
        <f t="shared" si="31"/>
        <v>0</v>
      </c>
      <c r="D63" s="86">
        <f t="shared" si="31"/>
        <v>0</v>
      </c>
      <c r="E63" s="86">
        <f t="shared" si="31"/>
        <v>0</v>
      </c>
      <c r="F63" s="86">
        <f t="shared" si="31"/>
        <v>0</v>
      </c>
      <c r="G63" s="86">
        <f t="shared" si="31"/>
        <v>0</v>
      </c>
      <c r="H63" s="86">
        <f t="shared" si="31"/>
        <v>0</v>
      </c>
      <c r="I63" s="86">
        <f t="shared" si="31"/>
        <v>0</v>
      </c>
      <c r="J63" s="86">
        <f t="shared" si="31"/>
        <v>0</v>
      </c>
      <c r="K63" s="86">
        <f t="shared" si="31"/>
        <v>0</v>
      </c>
      <c r="L63" s="86">
        <f t="shared" si="31"/>
        <v>0</v>
      </c>
      <c r="M63" s="86">
        <f t="shared" si="31"/>
        <v>0</v>
      </c>
      <c r="N63" s="86">
        <f t="shared" si="31"/>
        <v>0</v>
      </c>
      <c r="O63" s="86">
        <f t="shared" si="31"/>
        <v>0</v>
      </c>
      <c r="P63" s="86">
        <f t="shared" si="31"/>
        <v>0</v>
      </c>
    </row>
    <row r="64" spans="1:19" x14ac:dyDescent="0.3">
      <c r="A64" s="3" t="s">
        <v>164</v>
      </c>
      <c r="B64" s="86">
        <f t="shared" ref="B64:P64" si="32">HLOOKUP(B$60,$B$54:$S$58,5,FALSE)</f>
        <v>0</v>
      </c>
      <c r="C64" s="86">
        <f t="shared" si="32"/>
        <v>0</v>
      </c>
      <c r="D64" s="86">
        <f t="shared" si="32"/>
        <v>0</v>
      </c>
      <c r="E64" s="86">
        <f t="shared" si="32"/>
        <v>0</v>
      </c>
      <c r="F64" s="86">
        <f t="shared" si="32"/>
        <v>0</v>
      </c>
      <c r="G64" s="86">
        <f t="shared" si="32"/>
        <v>0</v>
      </c>
      <c r="H64" s="86">
        <f t="shared" si="32"/>
        <v>0</v>
      </c>
      <c r="I64" s="86">
        <f t="shared" si="32"/>
        <v>0</v>
      </c>
      <c r="J64" s="86">
        <f t="shared" si="32"/>
        <v>0</v>
      </c>
      <c r="K64" s="86">
        <f t="shared" si="32"/>
        <v>0</v>
      </c>
      <c r="L64" s="86">
        <f t="shared" si="32"/>
        <v>0</v>
      </c>
      <c r="M64" s="86">
        <f t="shared" si="32"/>
        <v>0</v>
      </c>
      <c r="N64" s="86">
        <f t="shared" si="32"/>
        <v>0</v>
      </c>
      <c r="O64" s="86">
        <f t="shared" si="32"/>
        <v>0</v>
      </c>
      <c r="P64" s="86">
        <f t="shared" si="32"/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</vt:lpstr>
      <vt:lpstr>Q</vt:lpstr>
      <vt:lpstr>S-RIM</vt:lpstr>
      <vt:lpstr>RIM계산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소일 김</dc:creator>
  <cp:lastModifiedBy>소일 김</cp:lastModifiedBy>
  <dcterms:created xsi:type="dcterms:W3CDTF">2026-06-11T21:14:01Z</dcterms:created>
  <dcterms:modified xsi:type="dcterms:W3CDTF">2026-09-08T01:15:47Z</dcterms:modified>
</cp:coreProperties>
</file>